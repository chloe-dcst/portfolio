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tuunivpoitiersfr-my.sharepoint.com/personal/chloe_decoust_etu_univ-poitiers_fr/Documents/Bureau/BUT 1/S1/SAE/création d'un reporting/"/>
    </mc:Choice>
  </mc:AlternateContent>
  <xr:revisionPtr revIDLastSave="62" documentId="8_{A3D146E3-D992-46CA-B256-2009CE159CA6}" xr6:coauthVersionLast="47" xr6:coauthVersionMax="47" xr10:uidLastSave="{699181AF-374C-4062-B1E9-C8A766C07678}"/>
  <bookViews>
    <workbookView xWindow="-108" yWindow="-108" windowWidth="23256" windowHeight="13896" xr2:uid="{00000000-000D-0000-FFFF-FFFF00000000}"/>
  </bookViews>
  <sheets>
    <sheet name="Accueil" sheetId="1" r:id="rId1"/>
    <sheet name="Semestre1" sheetId="2" r:id="rId2"/>
    <sheet name="Semestre2" sheetId="3" r:id="rId3"/>
    <sheet name="PanPan" sheetId="4" state="hidden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4" i="2" l="1"/>
  <c r="B35" i="4" s="1"/>
  <c r="H4" i="4"/>
  <c r="H5" i="4" s="1"/>
  <c r="G3" i="2"/>
  <c r="B6" i="4" s="1"/>
  <c r="I4" i="4"/>
  <c r="G5" i="3"/>
  <c r="E8" i="4" s="1"/>
  <c r="G4" i="3"/>
  <c r="G6" i="3"/>
  <c r="B22" i="3" s="1" a="1"/>
  <c r="B22" i="3" s="1"/>
  <c r="G7" i="3"/>
  <c r="E10" i="4" s="1"/>
  <c r="G8" i="3"/>
  <c r="D11" i="4" s="1"/>
  <c r="G9" i="3"/>
  <c r="E12" i="4" s="1"/>
  <c r="G10" i="3"/>
  <c r="G11" i="3"/>
  <c r="G14" i="3"/>
  <c r="G15" i="3"/>
  <c r="G16" i="3"/>
  <c r="G17" i="3"/>
  <c r="G18" i="3"/>
  <c r="G19" i="3"/>
  <c r="G20" i="3"/>
  <c r="G21" i="3"/>
  <c r="G22" i="3"/>
  <c r="G23" i="3"/>
  <c r="G26" i="3"/>
  <c r="G27" i="3"/>
  <c r="G28" i="3"/>
  <c r="G29" i="3"/>
  <c r="G30" i="3"/>
  <c r="G31" i="3"/>
  <c r="G32" i="3"/>
  <c r="G33" i="3"/>
  <c r="G3" i="3"/>
  <c r="G4" i="2"/>
  <c r="B7" i="4" s="1"/>
  <c r="G5" i="2"/>
  <c r="B8" i="4" s="1"/>
  <c r="G6" i="2"/>
  <c r="B9" i="4" s="1"/>
  <c r="G7" i="2"/>
  <c r="B10" i="4" s="1"/>
  <c r="G8" i="2"/>
  <c r="C11" i="4" s="1"/>
  <c r="G11" i="2"/>
  <c r="G12" i="2"/>
  <c r="B18" i="4" s="1"/>
  <c r="G13" i="2"/>
  <c r="B19" i="4" s="1"/>
  <c r="G14" i="2"/>
  <c r="B20" i="4" s="1"/>
  <c r="G15" i="2"/>
  <c r="B21" i="4" s="1"/>
  <c r="G18" i="2"/>
  <c r="B29" i="4" s="1"/>
  <c r="G19" i="2"/>
  <c r="B30" i="4" s="1"/>
  <c r="G20" i="2"/>
  <c r="B31" i="4" s="1"/>
  <c r="G21" i="2"/>
  <c r="B32" i="4" s="1"/>
  <c r="G22" i="2"/>
  <c r="C33" i="4" s="1"/>
  <c r="G23" i="2"/>
  <c r="B34" i="4" s="1"/>
  <c r="C18" i="4" l="1"/>
  <c r="I5" i="4"/>
  <c r="K4" i="4" s="1"/>
  <c r="H10" i="4" s="1"/>
  <c r="E36" i="4"/>
  <c r="D36" i="4"/>
  <c r="E35" i="4"/>
  <c r="D35" i="4"/>
  <c r="E34" i="4"/>
  <c r="D34" i="4"/>
  <c r="E33" i="4"/>
  <c r="D33" i="4"/>
  <c r="E32" i="4"/>
  <c r="D32" i="4"/>
  <c r="E31" i="4"/>
  <c r="D31" i="4"/>
  <c r="E30" i="4"/>
  <c r="D30" i="4"/>
  <c r="E29" i="4"/>
  <c r="D29" i="4"/>
  <c r="E26" i="4"/>
  <c r="D26" i="4"/>
  <c r="E25" i="4"/>
  <c r="D25" i="4"/>
  <c r="E24" i="4"/>
  <c r="D24" i="4"/>
  <c r="E23" i="4"/>
  <c r="D23" i="4"/>
  <c r="E22" i="4"/>
  <c r="D22" i="4"/>
  <c r="E21" i="4"/>
  <c r="D21" i="4"/>
  <c r="E20" i="4"/>
  <c r="D20" i="4"/>
  <c r="E19" i="4"/>
  <c r="D19" i="4"/>
  <c r="E18" i="4"/>
  <c r="D18" i="4"/>
  <c r="E17" i="4"/>
  <c r="D17" i="4"/>
  <c r="D8" i="4"/>
  <c r="D10" i="4"/>
  <c r="C20" i="4"/>
  <c r="C19" i="4"/>
  <c r="C21" i="4"/>
  <c r="C8" i="4"/>
  <c r="B33" i="4"/>
  <c r="B37" i="4" s="1"/>
  <c r="C34" i="4"/>
  <c r="C10" i="4"/>
  <c r="C35" i="4"/>
  <c r="C7" i="4"/>
  <c r="C6" i="4"/>
  <c r="C32" i="4"/>
  <c r="B11" i="4"/>
  <c r="B15" i="4" s="1"/>
  <c r="C29" i="4"/>
  <c r="D12" i="4"/>
  <c r="E11" i="4"/>
  <c r="D14" i="4"/>
  <c r="E14" i="4"/>
  <c r="C30" i="4"/>
  <c r="C31" i="4"/>
  <c r="C17" i="4"/>
  <c r="B17" i="4"/>
  <c r="B27" i="4" s="1"/>
  <c r="E13" i="4"/>
  <c r="D13" i="4"/>
  <c r="E7" i="4"/>
  <c r="D7" i="4"/>
  <c r="E9" i="4"/>
  <c r="D9" i="4"/>
  <c r="E6" i="4"/>
  <c r="D6" i="4"/>
  <c r="C9" i="4"/>
  <c r="D37" i="4" l="1"/>
  <c r="C27" i="4"/>
  <c r="B28" i="4" s="1"/>
  <c r="B15" i="1" s="1"/>
  <c r="D27" i="4"/>
  <c r="E27" i="4"/>
  <c r="D23" i="1"/>
  <c r="C37" i="4"/>
  <c r="B38" i="4" s="1"/>
  <c r="B16" i="1" s="1"/>
  <c r="E15" i="4"/>
  <c r="D15" i="4"/>
  <c r="E37" i="4"/>
  <c r="C15" i="4"/>
  <c r="D16" i="4" l="1"/>
  <c r="E14" i="1" s="1"/>
  <c r="D28" i="4"/>
  <c r="E15" i="1" s="1"/>
  <c r="H15" i="1" s="1"/>
  <c r="D38" i="4"/>
  <c r="E16" i="1" s="1"/>
  <c r="H16" i="1" s="1"/>
  <c r="B16" i="4"/>
  <c r="B14" i="1" s="1"/>
  <c r="H14" i="1" l="1"/>
  <c r="K14" i="1" s="1" a="1"/>
  <c r="K14" i="1" s="1"/>
  <c r="K16" i="1" a="1"/>
  <c r="K16" i="1" s="1"/>
  <c r="K15" i="1" a="1"/>
  <c r="K15" i="1" s="1"/>
  <c r="C23" i="1" l="1"/>
  <c r="A23" i="1"/>
  <c r="B23" i="1"/>
  <c r="H9" i="4" l="1"/>
  <c r="C2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<sst xmlns="http://schemas.openxmlformats.org/spreadsheetml/2006/main" count="110" uniqueCount="75">
  <si>
    <t>PanNote</t>
  </si>
  <si>
    <t xml:space="preserve"> </t>
  </si>
  <si>
    <t>Tutoriel</t>
  </si>
  <si>
    <t>La gestion des notes :</t>
  </si>
  <si>
    <t>Moyenne semestre 1 :</t>
  </si>
  <si>
    <t>Moyenne semestre 2 :</t>
  </si>
  <si>
    <t>Moyenne Annuelle :</t>
  </si>
  <si>
    <t>Niveau 1 :</t>
  </si>
  <si>
    <t xml:space="preserve">Compétence 1 </t>
  </si>
  <si>
    <t xml:space="preserve">Compétence 2 </t>
  </si>
  <si>
    <t>Compétence 3</t>
  </si>
  <si>
    <t>Passage en deuxième année :</t>
  </si>
  <si>
    <t>Nombre de bloc de compétence inférieur à 8</t>
  </si>
  <si>
    <t>Nombre de bloc de compétence compris entre 8 et 10</t>
  </si>
  <si>
    <t>Nombre de bloc de compétence supérieur ou égal à 10</t>
  </si>
  <si>
    <t xml:space="preserve">Aucun bloc de compétence  avec : ABI </t>
  </si>
  <si>
    <t>Semestre 1</t>
  </si>
  <si>
    <t xml:space="preserve">Ressource </t>
  </si>
  <si>
    <t>Coefficient</t>
  </si>
  <si>
    <t>Note</t>
  </si>
  <si>
    <t>Moyenne par ressource</t>
  </si>
  <si>
    <t>Compétence 1</t>
  </si>
  <si>
    <t>PPP1</t>
  </si>
  <si>
    <t>Tableur et Reporting</t>
  </si>
  <si>
    <t>Base de données relationnelles 1</t>
  </si>
  <si>
    <t>Bases de la programmation 1</t>
  </si>
  <si>
    <t>SAE - Reporting à partir de données stockées dans un SGBD relationnel</t>
  </si>
  <si>
    <t>SAE - Ecriture et lecture des fichiers de données</t>
  </si>
  <si>
    <t>Compétence 2</t>
  </si>
  <si>
    <t>Statistique descriptive 1</t>
  </si>
  <si>
    <t>Probabilités 1</t>
  </si>
  <si>
    <t>Mathématiques - Analyse</t>
  </si>
  <si>
    <t>SAE - Préparation et synthèse d'un tableau de données en vue d'une analyse exploratoire simple</t>
  </si>
  <si>
    <t>Initiation à l'anglais de spécialité</t>
  </si>
  <si>
    <t>Communication de l'information et recherche documentaire</t>
  </si>
  <si>
    <t>Découverte des données de l'environnement entrepreunarial et économique</t>
  </si>
  <si>
    <t>SAE - Apprendre en situation la production de données en entreprise</t>
  </si>
  <si>
    <t>SAE - Présentation en anglais d'un territoire économique et culturel</t>
  </si>
  <si>
    <t>SAE - Mise en œuvre d'une enquête</t>
  </si>
  <si>
    <t>Semestre 2</t>
  </si>
  <si>
    <t>Ressource</t>
  </si>
  <si>
    <t>PPP2</t>
  </si>
  <si>
    <t>Bases de données relationnelles 2</t>
  </si>
  <si>
    <t>Bases de la programmation 2</t>
  </si>
  <si>
    <t>Programation statistique</t>
  </si>
  <si>
    <t>Reporting et datavisualisation</t>
  </si>
  <si>
    <t>SAE - Analyse de données, reporting et datavisualisation</t>
  </si>
  <si>
    <t>SAE - Conception et implémentation d'une base de données</t>
  </si>
  <si>
    <t>SAE - Datavisualisation</t>
  </si>
  <si>
    <t>SAE - Portfolio</t>
  </si>
  <si>
    <t>Statistique descriptive 2</t>
  </si>
  <si>
    <t>Statistique inférentielle</t>
  </si>
  <si>
    <t>Probabilités 2</t>
  </si>
  <si>
    <t>Bases de l'algèbre</t>
  </si>
  <si>
    <t>SAE - Estimation par échantillonage</t>
  </si>
  <si>
    <t>SAE - Régression sur des données réelles</t>
  </si>
  <si>
    <t>Approfondissement  de l'anglais de spécialité</t>
  </si>
  <si>
    <t>Communication et sémiolmogie</t>
  </si>
  <si>
    <t>Etude des données de l'environnement entrepreneurial et économique</t>
  </si>
  <si>
    <t>SAE - Construction et présentation d'indicateurs de performance</t>
  </si>
  <si>
    <t>Semestre</t>
  </si>
  <si>
    <t>Semestre1</t>
  </si>
  <si>
    <t>compétence</t>
  </si>
  <si>
    <t>ressource</t>
  </si>
  <si>
    <t>nombre de bloc d'ABI semestre 1</t>
  </si>
  <si>
    <t>nombre de bloc d'ABI semestre 2</t>
  </si>
  <si>
    <t>Aucun blos des 2 semestres avec : ABI</t>
  </si>
  <si>
    <t>Aucun bloc avec : ABI</t>
  </si>
  <si>
    <t>Cpt 1</t>
  </si>
  <si>
    <t xml:space="preserve">passage en deuxième année  avec les notes </t>
  </si>
  <si>
    <t>Passage en deuxième année (ABI )</t>
  </si>
  <si>
    <t>total</t>
  </si>
  <si>
    <t>moyenne</t>
  </si>
  <si>
    <t>Cpt 2</t>
  </si>
  <si>
    <t>Cpt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</si>
</sst>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u/>
      <sz val="14"/>
      <color theme="1"/>
      <name val="Calibri"/>
      <family val="2"/>
      <scheme val="minor"/>
    </font>
    <font>
      <b/>
      <i/>
      <u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4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rgb="FF000000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26">
    <xf numFmtId="0" fontId="0" fillId="0" borderId="0" xfId="0"/>
    <xf numFmtId="0" fontId="0" fillId="0" borderId="0" xfId="0" applyAlignment="1">
      <alignment vertical="center"/>
    </xf>
    <xf numFmtId="0" fontId="0" fillId="0" borderId="5" xfId="0" applyBorder="1"/>
    <xf numFmtId="0" fontId="0" fillId="2" borderId="6" xfId="0" applyFill="1" applyBorder="1"/>
    <xf numFmtId="0" fontId="0" fillId="0" borderId="10" xfId="0" applyBorder="1"/>
    <xf numFmtId="0" fontId="0" fillId="0" borderId="11" xfId="0" applyBorder="1"/>
    <xf numFmtId="0" fontId="0" fillId="0" borderId="19" xfId="0" applyBorder="1" applyAlignment="1">
      <alignment horizontal="center" vertical="center"/>
    </xf>
    <xf numFmtId="0" fontId="0" fillId="0" borderId="24" xfId="0" applyBorder="1"/>
    <xf numFmtId="0" fontId="0" fillId="0" borderId="2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4" borderId="16" xfId="0" applyFont="1" applyFill="1" applyBorder="1" applyAlignment="1">
      <alignment horizontal="center" vertical="center"/>
    </xf>
    <xf numFmtId="0" fontId="0" fillId="8" borderId="13" xfId="0" applyFill="1" applyBorder="1"/>
    <xf numFmtId="0" fontId="0" fillId="8" borderId="14" xfId="0" applyFill="1" applyBorder="1"/>
    <xf numFmtId="0" fontId="0" fillId="8" borderId="15" xfId="0" applyFill="1" applyBorder="1"/>
    <xf numFmtId="0" fontId="0" fillId="8" borderId="5" xfId="0" applyFill="1" applyBorder="1"/>
    <xf numFmtId="0" fontId="0" fillId="7" borderId="23" xfId="0" applyFill="1" applyBorder="1"/>
    <xf numFmtId="0" fontId="0" fillId="7" borderId="24" xfId="0" applyFill="1" applyBorder="1"/>
    <xf numFmtId="0" fontId="0" fillId="7" borderId="25" xfId="0" applyFill="1" applyBorder="1"/>
    <xf numFmtId="0" fontId="0" fillId="7" borderId="8" xfId="0" applyFill="1" applyBorder="1"/>
    <xf numFmtId="0" fontId="0" fillId="7" borderId="10" xfId="0" applyFill="1" applyBorder="1"/>
    <xf numFmtId="0" fontId="0" fillId="7" borderId="11" xfId="0" applyFill="1" applyBorder="1"/>
    <xf numFmtId="0" fontId="0" fillId="8" borderId="16" xfId="0" applyFill="1" applyBorder="1"/>
    <xf numFmtId="0" fontId="0" fillId="8" borderId="29" xfId="0" applyFill="1" applyBorder="1"/>
    <xf numFmtId="0" fontId="0" fillId="8" borderId="17" xfId="0" applyFill="1" applyBorder="1"/>
    <xf numFmtId="0" fontId="0" fillId="0" borderId="0" xfId="0" applyAlignment="1">
      <alignment wrapText="1"/>
    </xf>
    <xf numFmtId="0" fontId="0" fillId="0" borderId="3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3" xfId="0" applyBorder="1"/>
    <xf numFmtId="0" fontId="0" fillId="0" borderId="34" xfId="0" applyBorder="1"/>
    <xf numFmtId="0" fontId="0" fillId="0" borderId="38" xfId="0" applyBorder="1"/>
    <xf numFmtId="0" fontId="0" fillId="0" borderId="39" xfId="0" applyBorder="1"/>
    <xf numFmtId="0" fontId="0" fillId="3" borderId="40" xfId="0" applyFill="1" applyBorder="1"/>
    <xf numFmtId="0" fontId="0" fillId="3" borderId="41" xfId="0" applyFill="1" applyBorder="1"/>
    <xf numFmtId="0" fontId="0" fillId="3" borderId="42" xfId="0" applyFill="1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0" fillId="0" borderId="52" xfId="0" applyBorder="1"/>
    <xf numFmtId="0" fontId="0" fillId="0" borderId="53" xfId="0" applyBorder="1"/>
    <xf numFmtId="0" fontId="0" fillId="2" borderId="57" xfId="0" applyFill="1" applyBorder="1"/>
    <xf numFmtId="0" fontId="0" fillId="3" borderId="52" xfId="0" applyFill="1" applyBorder="1"/>
    <xf numFmtId="0" fontId="0" fillId="3" borderId="34" xfId="0" applyFill="1" applyBorder="1"/>
    <xf numFmtId="0" fontId="0" fillId="3" borderId="53" xfId="0" applyFill="1" applyBorder="1"/>
    <xf numFmtId="0" fontId="0" fillId="0" borderId="51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10" borderId="8" xfId="0" applyFill="1" applyBorder="1"/>
    <xf numFmtId="2" fontId="0" fillId="0" borderId="34" xfId="0" applyNumberFormat="1" applyBorder="1"/>
    <xf numFmtId="2" fontId="0" fillId="0" borderId="13" xfId="0" applyNumberFormat="1" applyBorder="1"/>
    <xf numFmtId="2" fontId="0" fillId="0" borderId="14" xfId="0" applyNumberFormat="1" applyBorder="1"/>
    <xf numFmtId="2" fontId="0" fillId="0" borderId="15" xfId="0" applyNumberFormat="1" applyBorder="1"/>
    <xf numFmtId="2" fontId="0" fillId="0" borderId="0" xfId="0" applyNumberFormat="1"/>
    <xf numFmtId="0" fontId="0" fillId="2" borderId="33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9" borderId="58" xfId="0" applyFill="1" applyBorder="1" applyAlignment="1">
      <alignment horizontal="center" vertical="center"/>
    </xf>
    <xf numFmtId="2" fontId="0" fillId="0" borderId="59" xfId="0" applyNumberFormat="1" applyBorder="1"/>
    <xf numFmtId="0" fontId="0" fillId="5" borderId="60" xfId="0" applyFill="1" applyBorder="1" applyAlignment="1">
      <alignment horizontal="center" vertical="center"/>
    </xf>
    <xf numFmtId="2" fontId="0" fillId="0" borderId="61" xfId="0" applyNumberFormat="1" applyBorder="1"/>
    <xf numFmtId="0" fontId="0" fillId="6" borderId="62" xfId="0" applyFill="1" applyBorder="1" applyAlignment="1">
      <alignment horizontal="center" vertical="center"/>
    </xf>
    <xf numFmtId="2" fontId="0" fillId="0" borderId="63" xfId="0" applyNumberFormat="1" applyBorder="1"/>
    <xf numFmtId="0" fontId="1" fillId="0" borderId="0" xfId="0" applyFont="1" applyAlignment="1">
      <alignment horizontal="center" vertical="center"/>
    </xf>
    <xf numFmtId="0" fontId="0" fillId="2" borderId="58" xfId="0" applyFill="1" applyBorder="1" applyAlignment="1">
      <alignment wrapText="1"/>
    </xf>
    <xf numFmtId="0" fontId="0" fillId="0" borderId="59" xfId="0" applyBorder="1" applyAlignment="1">
      <alignment horizontal="center" vertical="center"/>
    </xf>
    <xf numFmtId="0" fontId="0" fillId="2" borderId="62" xfId="0" applyFill="1" applyBorder="1"/>
    <xf numFmtId="0" fontId="0" fillId="0" borderId="63" xfId="0" applyBorder="1" applyAlignment="1">
      <alignment horizontal="center" vertical="center"/>
    </xf>
    <xf numFmtId="0" fontId="0" fillId="2" borderId="64" xfId="0" applyFill="1" applyBorder="1" applyAlignment="1">
      <alignment horizontal="center" vertical="center" wrapText="1"/>
    </xf>
    <xf numFmtId="0" fontId="0" fillId="2" borderId="65" xfId="0" applyFill="1" applyBorder="1" applyAlignment="1">
      <alignment horizontal="center" vertical="center" wrapText="1"/>
    </xf>
    <xf numFmtId="0" fontId="0" fillId="0" borderId="66" xfId="0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0" fillId="2" borderId="6" xfId="0" applyFill="1" applyBorder="1" applyAlignment="1">
      <alignment wrapText="1"/>
    </xf>
    <xf numFmtId="0" fontId="2" fillId="0" borderId="0" xfId="0" applyFont="1"/>
    <xf numFmtId="0" fontId="0" fillId="0" borderId="5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59" xfId="0" applyBorder="1" applyAlignment="1">
      <alignment horizontal="center" vertical="center" wrapText="1"/>
    </xf>
    <xf numFmtId="0" fontId="0" fillId="0" borderId="62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69" xfId="0" applyBorder="1"/>
    <xf numFmtId="0" fontId="0" fillId="0" borderId="70" xfId="0" applyBorder="1"/>
    <xf numFmtId="0" fontId="0" fillId="0" borderId="71" xfId="0" applyBorder="1"/>
    <xf numFmtId="0" fontId="3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4" fillId="0" borderId="0" xfId="0" applyFont="1" applyAlignment="1">
      <alignment horizontal="left" vertical="center"/>
    </xf>
    <xf numFmtId="2" fontId="0" fillId="0" borderId="21" xfId="0" applyNumberFormat="1" applyBorder="1" applyAlignment="1" applyProtection="1">
      <alignment horizontal="right"/>
      <protection locked="0"/>
    </xf>
    <xf numFmtId="2" fontId="0" fillId="0" borderId="9" xfId="0" applyNumberFormat="1" applyBorder="1" applyAlignment="1" applyProtection="1">
      <alignment horizontal="right"/>
      <protection locked="0"/>
    </xf>
    <xf numFmtId="2" fontId="0" fillId="0" borderId="27" xfId="0" applyNumberFormat="1" applyBorder="1" applyAlignment="1" applyProtection="1">
      <alignment horizontal="right"/>
      <protection locked="0"/>
    </xf>
    <xf numFmtId="2" fontId="0" fillId="0" borderId="3" xfId="0" applyNumberFormat="1" applyBorder="1" applyAlignment="1" applyProtection="1">
      <alignment horizontal="right"/>
      <protection locked="0"/>
    </xf>
    <xf numFmtId="2" fontId="0" fillId="0" borderId="1" xfId="0" applyNumberFormat="1" applyBorder="1" applyAlignment="1" applyProtection="1">
      <alignment horizontal="right"/>
      <protection locked="0"/>
    </xf>
    <xf numFmtId="2" fontId="0" fillId="0" borderId="4" xfId="0" applyNumberFormat="1" applyBorder="1" applyAlignment="1" applyProtection="1">
      <alignment horizontal="right"/>
      <protection locked="0"/>
    </xf>
    <xf numFmtId="2" fontId="0" fillId="0" borderId="18" xfId="0" applyNumberFormat="1" applyBorder="1" applyAlignment="1" applyProtection="1">
      <alignment horizontal="right"/>
      <protection locked="0"/>
    </xf>
    <xf numFmtId="2" fontId="0" fillId="0" borderId="12" xfId="0" applyNumberFormat="1" applyBorder="1" applyAlignment="1" applyProtection="1">
      <alignment horizontal="right"/>
      <protection locked="0"/>
    </xf>
    <xf numFmtId="2" fontId="0" fillId="0" borderId="28" xfId="0" applyNumberFormat="1" applyBorder="1" applyAlignment="1" applyProtection="1">
      <alignment horizontal="right"/>
      <protection locked="0"/>
    </xf>
    <xf numFmtId="2" fontId="0" fillId="0" borderId="0" xfId="0" applyNumberFormat="1" applyAlignment="1" applyProtection="1">
      <alignment horizontal="right"/>
      <protection locked="0"/>
    </xf>
    <xf numFmtId="0" fontId="6" fillId="0" borderId="0" xfId="1" applyFont="1"/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9" borderId="13" xfId="0" applyFill="1" applyBorder="1" applyAlignment="1">
      <alignment horizontal="center" vertical="center" textRotation="90" wrapText="1"/>
    </xf>
    <xf numFmtId="0" fontId="0" fillId="9" borderId="14" xfId="0" applyFill="1" applyBorder="1" applyAlignment="1">
      <alignment horizontal="center" vertical="center" textRotation="90" wrapText="1"/>
    </xf>
    <xf numFmtId="0" fontId="0" fillId="9" borderId="15" xfId="0" applyFill="1" applyBorder="1" applyAlignment="1">
      <alignment horizontal="center" vertical="center" textRotation="90" wrapText="1"/>
    </xf>
    <xf numFmtId="0" fontId="0" fillId="5" borderId="13" xfId="0" applyFill="1" applyBorder="1" applyAlignment="1">
      <alignment horizontal="center" vertical="center" textRotation="90" wrapText="1"/>
    </xf>
    <xf numFmtId="0" fontId="0" fillId="5" borderId="14" xfId="0" applyFill="1" applyBorder="1" applyAlignment="1">
      <alignment horizontal="center" vertical="center" textRotation="90" wrapText="1"/>
    </xf>
    <xf numFmtId="0" fontId="0" fillId="5" borderId="15" xfId="0" applyFill="1" applyBorder="1" applyAlignment="1">
      <alignment horizontal="center" vertical="center" textRotation="90" wrapText="1"/>
    </xf>
    <xf numFmtId="0" fontId="0" fillId="6" borderId="13" xfId="0" applyFill="1" applyBorder="1" applyAlignment="1">
      <alignment horizontal="center" vertical="center" textRotation="90" wrapText="1"/>
    </xf>
    <xf numFmtId="0" fontId="0" fillId="6" borderId="14" xfId="0" applyFill="1" applyBorder="1" applyAlignment="1">
      <alignment horizontal="center" vertical="center" textRotation="90" wrapText="1"/>
    </xf>
    <xf numFmtId="0" fontId="0" fillId="6" borderId="15" xfId="0" applyFill="1" applyBorder="1" applyAlignment="1">
      <alignment horizontal="center" vertical="center" textRotation="90" wrapText="1"/>
    </xf>
    <xf numFmtId="0" fontId="0" fillId="0" borderId="3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2" borderId="45" xfId="0" applyFill="1" applyBorder="1" applyAlignment="1">
      <alignment horizontal="center"/>
    </xf>
    <xf numFmtId="0" fontId="0" fillId="2" borderId="46" xfId="0" applyFill="1" applyBorder="1" applyAlignment="1">
      <alignment horizontal="center"/>
    </xf>
    <xf numFmtId="0" fontId="0" fillId="2" borderId="46" xfId="0" applyFill="1" applyBorder="1" applyAlignment="1">
      <alignment horizontal="center" vertical="center"/>
    </xf>
    <xf numFmtId="0" fontId="0" fillId="2" borderId="47" xfId="0" applyFill="1" applyBorder="1" applyAlignment="1">
      <alignment horizontal="center" vertical="center"/>
    </xf>
    <xf numFmtId="0" fontId="0" fillId="0" borderId="43" xfId="0" applyBorder="1" applyAlignment="1">
      <alignment horizontal="center" vertical="center" textRotation="90"/>
    </xf>
    <xf numFmtId="0" fontId="0" fillId="0" borderId="44" xfId="0" applyBorder="1" applyAlignment="1">
      <alignment horizontal="center" vertical="center" textRotation="90"/>
    </xf>
    <xf numFmtId="0" fontId="0" fillId="0" borderId="54" xfId="0" applyBorder="1" applyAlignment="1">
      <alignment horizontal="center" vertical="center" textRotation="90"/>
    </xf>
    <xf numFmtId="0" fontId="0" fillId="0" borderId="55" xfId="0" applyBorder="1" applyAlignment="1">
      <alignment horizontal="center" vertical="center" textRotation="90"/>
    </xf>
    <xf numFmtId="0" fontId="0" fillId="0" borderId="56" xfId="0" applyBorder="1" applyAlignment="1">
      <alignment horizontal="center" vertical="center" textRotation="90"/>
    </xf>
  </cellXfs>
  <cellStyles count="2">
    <cellStyle name="Lien hypertexte" xfId="1" builtinId="8"/>
    <cellStyle name="Normal" xfId="0" builtinId="0"/>
  </cellStyles>
  <dxfs count="1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050"/>
              <a:t>Evolution</a:t>
            </a:r>
            <a:r>
              <a:rPr lang="fr-FR" sz="1050" baseline="0"/>
              <a:t> des moyennes des compétences par semestre </a:t>
            </a:r>
            <a:endParaRPr lang="fr-FR" sz="1050"/>
          </a:p>
        </c:rich>
      </c:tx>
      <c:layout>
        <c:manualLayout>
          <c:xMode val="edge"/>
          <c:yMode val="edge"/>
          <c:x val="0.15380682836332202"/>
          <c:y val="3.36700336700336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Accueil!$A$14</c:f>
              <c:strCache>
                <c:ptCount val="1"/>
                <c:pt idx="0">
                  <c:v>Compétence 1 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(Accueil!$B$14,Accueil!$E$14)</c:f>
              <c:numCache>
                <c:formatCode>0.00</c:formatCode>
                <c:ptCount val="2"/>
                <c:pt idx="0">
                  <c:v>12.7</c:v>
                </c:pt>
                <c:pt idx="1">
                  <c:v>15.392857142857142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33-4276-85D1-5A3A28E0474A}"/>
            </c:ext>
          </c:extLst>
        </c:ser>
        <c:ser>
          <c:idx val="1"/>
          <c:order val="1"/>
          <c:tx>
            <c:strRef>
              <c:f>Accueil!$A$15</c:f>
              <c:strCache>
                <c:ptCount val="1"/>
                <c:pt idx="0">
                  <c:v>Compétence 2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(Accueil!$B$15,Accueil!$E$15)</c:f>
              <c:numCache>
                <c:formatCode>0.00</c:formatCode>
                <c:ptCount val="2"/>
                <c:pt idx="0">
                  <c:v>13.933333333333335</c:v>
                </c:pt>
                <c:pt idx="1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33-4276-85D1-5A3A28E0474A}"/>
            </c:ext>
          </c:extLst>
        </c:ser>
        <c:ser>
          <c:idx val="2"/>
          <c:order val="2"/>
          <c:tx>
            <c:strRef>
              <c:f>Accueil!$A$16</c:f>
              <c:strCache>
                <c:ptCount val="1"/>
                <c:pt idx="0">
                  <c:v>Compétence 3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(Accueil!$B$16,Accueil!$E$16)</c:f>
              <c:numCache>
                <c:formatCode>0.00</c:formatCode>
                <c:ptCount val="2"/>
                <c:pt idx="0">
                  <c:v>15.086833329518635</c:v>
                </c:pt>
                <c:pt idx="1">
                  <c:v>12.666666666666666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33-4276-85D1-5A3A28E04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0855727"/>
        <c:axId val="456370831"/>
      </c:barChart>
      <c:catAx>
        <c:axId val="600855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6370831"/>
        <c:crosses val="autoZero"/>
        <c:auto val="1"/>
        <c:lblAlgn val="ctr"/>
        <c:lblOffset val="100"/>
        <c:tickLblSkip val="1"/>
        <c:noMultiLvlLbl val="0"/>
      </c:catAx>
      <c:valAx>
        <c:axId val="456370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00855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198120</xdr:colOff>
          <xdr:row>5</xdr:row>
          <xdr:rowOff>175260</xdr:rowOff>
        </xdr:from>
        <xdr:to>
          <xdr:col>1</xdr:col>
          <xdr:colOff>487680</xdr:colOff>
          <xdr:row>8</xdr:row>
          <xdr:rowOff>175260</xdr:rowOff>
        </xdr:to>
        <xdr:sp macro="" textlink="">
          <xdr:nvSpPr>
            <xdr:cNvPr id="1025" name="Saisieno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655320</xdr:colOff>
          <xdr:row>5</xdr:row>
          <xdr:rowOff>175260</xdr:rowOff>
        </xdr:from>
        <xdr:to>
          <xdr:col>4</xdr:col>
          <xdr:colOff>937260</xdr:colOff>
          <xdr:row>8</xdr:row>
          <xdr:rowOff>152400</xdr:rowOff>
        </xdr:to>
        <xdr:sp macro="" textlink="">
          <xdr:nvSpPr>
            <xdr:cNvPr id="1026" name="ModifierNo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899160</xdr:colOff>
          <xdr:row>5</xdr:row>
          <xdr:rowOff>175260</xdr:rowOff>
        </xdr:from>
        <xdr:to>
          <xdr:col>11</xdr:col>
          <xdr:colOff>76200</xdr:colOff>
          <xdr:row>8</xdr:row>
          <xdr:rowOff>175260</xdr:rowOff>
        </xdr:to>
        <xdr:sp macro="" textlink="">
          <xdr:nvSpPr>
            <xdr:cNvPr id="1027" name="EffacerTou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1013460</xdr:colOff>
          <xdr:row>6</xdr:row>
          <xdr:rowOff>7620</xdr:rowOff>
        </xdr:from>
        <xdr:to>
          <xdr:col>8</xdr:col>
          <xdr:colOff>83820</xdr:colOff>
          <xdr:row>8</xdr:row>
          <xdr:rowOff>182880</xdr:rowOff>
        </xdr:to>
        <xdr:sp macro="" textlink="">
          <xdr:nvSpPr>
            <xdr:cNvPr id="1028" name="EffacerNot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1249680</xdr:colOff>
      <xdr:row>18</xdr:row>
      <xdr:rowOff>175260</xdr:rowOff>
    </xdr:from>
    <xdr:to>
      <xdr:col>8</xdr:col>
      <xdr:colOff>15240</xdr:colOff>
      <xdr:row>28</xdr:row>
      <xdr:rowOff>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190500</xdr:colOff>
      <xdr:row>0</xdr:row>
      <xdr:rowOff>0</xdr:rowOff>
    </xdr:from>
    <xdr:to>
      <xdr:col>0</xdr:col>
      <xdr:colOff>1203960</xdr:colOff>
      <xdr:row>5</xdr:row>
      <xdr:rowOff>7442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0500" y="0"/>
          <a:ext cx="1013460" cy="1203782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C:\Users\chloe\OneDrive%20-%20Universit&#233;%20de%20Poitiers\Bureau\BUT%201\SAE\cr&#233;ation%20d'un%20reporting\Tuto.pdf" TargetMode="External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2:O23"/>
  <sheetViews>
    <sheetView tabSelected="1" topLeftCell="A3" zoomScaleNormal="100" workbookViewId="0">
      <selection activeCell="C27" sqref="C27"/>
    </sheetView>
  </sheetViews>
  <sheetFormatPr baseColWidth="10" defaultColWidth="11.44140625" defaultRowHeight="14.4" x14ac:dyDescent="0.3"/>
  <cols>
    <col min="1" max="14" width="18.33203125" customWidth="1"/>
    <col min="15" max="15" width="20.109375" customWidth="1"/>
  </cols>
  <sheetData>
    <row r="2" spans="1:11" ht="23.4" x14ac:dyDescent="0.3">
      <c r="B2" s="88" t="s">
        <v>0</v>
      </c>
    </row>
    <row r="3" spans="1:11" ht="21" x14ac:dyDescent="0.4">
      <c r="D3" t="s">
        <v>1</v>
      </c>
      <c r="F3" s="87"/>
      <c r="G3" s="87"/>
      <c r="H3" s="77"/>
      <c r="I3" s="77"/>
    </row>
    <row r="4" spans="1:11" ht="21" x14ac:dyDescent="0.35">
      <c r="B4" s="99" t="s">
        <v>2</v>
      </c>
      <c r="E4" s="100" t="s">
        <v>3</v>
      </c>
      <c r="F4" s="100"/>
      <c r="G4" s="100"/>
    </row>
    <row r="9" spans="1:11" x14ac:dyDescent="0.3">
      <c r="G9" t="s">
        <v>1</v>
      </c>
    </row>
    <row r="12" spans="1:11" ht="18" x14ac:dyDescent="0.3">
      <c r="A12" s="101" t="s">
        <v>4</v>
      </c>
      <c r="B12" s="101"/>
      <c r="D12" s="101" t="s">
        <v>5</v>
      </c>
      <c r="E12" s="101"/>
      <c r="G12" s="101" t="s">
        <v>6</v>
      </c>
      <c r="H12" s="101"/>
      <c r="J12" s="101" t="s">
        <v>7</v>
      </c>
      <c r="K12" s="101"/>
    </row>
    <row r="13" spans="1:11" ht="15" thickBot="1" x14ac:dyDescent="0.35">
      <c r="G13" s="65"/>
      <c r="K13" s="65"/>
    </row>
    <row r="14" spans="1:11" x14ac:dyDescent="0.3">
      <c r="A14" s="59" t="s">
        <v>8</v>
      </c>
      <c r="B14" s="60">
        <f>IFERROR(PanPan!B16,"")</f>
        <v>12.7</v>
      </c>
      <c r="D14" s="59" t="s">
        <v>8</v>
      </c>
      <c r="E14" s="53">
        <f>IFERROR(PanPan!D16,"")</f>
        <v>15.392857142857142</v>
      </c>
      <c r="G14" s="59" t="s">
        <v>8</v>
      </c>
      <c r="H14" s="53">
        <f>IFERROR(AVERAGE(B14,E14),"")</f>
        <v>14.046428571428571</v>
      </c>
      <c r="J14" s="59" t="s">
        <v>8</v>
      </c>
      <c r="K14" s="83" t="str" cm="1">
        <f t="array" ref="K14">IFERROR(_xlfn.IFS(H14="","",H14&gt;=10,"Oui",H14&lt;10,"Non"),"")</f>
        <v>Oui</v>
      </c>
    </row>
    <row r="15" spans="1:11" x14ac:dyDescent="0.3">
      <c r="A15" s="61" t="s">
        <v>9</v>
      </c>
      <c r="B15" s="62">
        <f>IFERROR(PanPan!B28,"")</f>
        <v>13.933333333333335</v>
      </c>
      <c r="D15" s="61" t="s">
        <v>9</v>
      </c>
      <c r="E15" s="54">
        <f>IFERROR(PanPan!D28,"")</f>
        <v>13</v>
      </c>
      <c r="G15" s="61" t="s">
        <v>9</v>
      </c>
      <c r="H15" s="54">
        <f>IFERROR(AVERAGE(B15,E15),"")</f>
        <v>13.466666666666669</v>
      </c>
      <c r="J15" s="61" t="s">
        <v>9</v>
      </c>
      <c r="K15" s="84" t="str" cm="1">
        <f t="array" ref="K15">IFERROR(_xlfn.IFS(H15="","",H15&gt;=10,"Oui",H15&lt;10,"Non"),"")</f>
        <v>Oui</v>
      </c>
    </row>
    <row r="16" spans="1:11" ht="15" thickBot="1" x14ac:dyDescent="0.35">
      <c r="A16" s="63" t="s">
        <v>10</v>
      </c>
      <c r="B16" s="64">
        <f>IFERROR(PanPan!B38,"")</f>
        <v>15.086833329518635</v>
      </c>
      <c r="D16" s="63" t="s">
        <v>10</v>
      </c>
      <c r="E16" s="55">
        <f>IFERROR(PanPan!D38,"")</f>
        <v>12.666666666666666</v>
      </c>
      <c r="G16" s="63" t="s">
        <v>10</v>
      </c>
      <c r="H16" s="55">
        <f>IFERROR(AVERAGE(B16,E16),"")</f>
        <v>13.876749998092651</v>
      </c>
      <c r="J16" s="63" t="s">
        <v>10</v>
      </c>
      <c r="K16" s="85" t="str" cm="1">
        <f t="array" ref="K16">IFERROR(_xlfn.IFS(H16="","",H16&gt;=10,"Oui",H16&lt;10,"Non"),"")</f>
        <v>Oui</v>
      </c>
    </row>
    <row r="18" spans="1:15" x14ac:dyDescent="0.3">
      <c r="M18" s="65"/>
    </row>
    <row r="20" spans="1:15" ht="18.600000000000001" thickBot="1" x14ac:dyDescent="0.35">
      <c r="A20" s="101" t="s">
        <v>11</v>
      </c>
      <c r="B20" s="101"/>
      <c r="C20" s="69" t="str">
        <f>IF(AND(PanPan!H9="Accepté",PanPan!H10="Accepté"),"Accepté","Refusé")</f>
        <v>Accepté</v>
      </c>
      <c r="H20" s="86"/>
      <c r="O20" s="24"/>
    </row>
    <row r="21" spans="1:15" ht="15" thickBot="1" x14ac:dyDescent="0.35"/>
    <row r="22" spans="1:15" ht="57" customHeight="1" x14ac:dyDescent="0.3">
      <c r="A22" s="78" t="s">
        <v>12</v>
      </c>
      <c r="B22" s="79" t="s">
        <v>13</v>
      </c>
      <c r="C22" s="79" t="s">
        <v>14</v>
      </c>
      <c r="D22" s="80" t="s">
        <v>15</v>
      </c>
      <c r="E22" s="58"/>
    </row>
    <row r="23" spans="1:15" ht="15" thickBot="1" x14ac:dyDescent="0.35">
      <c r="A23" s="81">
        <f>COUNTIF(H14:H16,"&lt;8")</f>
        <v>0</v>
      </c>
      <c r="B23" s="82">
        <f>COUNTIFS(H14:H16,"&gt;=8",H14:H16,"&lt;10")</f>
        <v>0</v>
      </c>
      <c r="C23" s="82">
        <f>COUNTIF(H14:H16,"&gt;=10")</f>
        <v>3</v>
      </c>
      <c r="D23" s="69" t="str">
        <f>IF(AND(PanPan!H5="Oui",PanPan!I5="Oui"),"Oui","Non")</f>
        <v>Oui</v>
      </c>
    </row>
  </sheetData>
  <sheetProtection sheet="1" objects="1" scenarios="1"/>
  <mergeCells count="6">
    <mergeCell ref="E4:G4"/>
    <mergeCell ref="D12:E12"/>
    <mergeCell ref="G12:H12"/>
    <mergeCell ref="J12:K12"/>
    <mergeCell ref="A20:B20"/>
    <mergeCell ref="A12:B12"/>
  </mergeCells>
  <conditionalFormatting sqref="C20">
    <cfRule type="containsText" dxfId="9" priority="12" operator="containsText" text="Accepté">
      <formula>NOT(ISERROR(SEARCH("Accepté",C20)))</formula>
    </cfRule>
  </conditionalFormatting>
  <conditionalFormatting sqref="A23">
    <cfRule type="cellIs" dxfId="8" priority="10" operator="greaterThanOrEqual">
      <formula>1</formula>
    </cfRule>
  </conditionalFormatting>
  <conditionalFormatting sqref="A23">
    <cfRule type="cellIs" dxfId="7" priority="9" operator="lessThanOrEqual">
      <formula>0</formula>
    </cfRule>
  </conditionalFormatting>
  <conditionalFormatting sqref="C23">
    <cfRule type="cellIs" dxfId="6" priority="8" operator="lessThan">
      <formula>2</formula>
    </cfRule>
  </conditionalFormatting>
  <conditionalFormatting sqref="C23">
    <cfRule type="cellIs" dxfId="5" priority="7" operator="greaterThanOrEqual">
      <formula>2</formula>
    </cfRule>
  </conditionalFormatting>
  <conditionalFormatting sqref="C20">
    <cfRule type="containsText" dxfId="4" priority="5" operator="containsText" text="Refusé">
      <formula>NOT(ISERROR(SEARCH("Refusé",C20)))</formula>
    </cfRule>
  </conditionalFormatting>
  <conditionalFormatting sqref="B23">
    <cfRule type="cellIs" dxfId="3" priority="4" operator="greaterThan">
      <formula>1</formula>
    </cfRule>
  </conditionalFormatting>
  <conditionalFormatting sqref="B23">
    <cfRule type="cellIs" dxfId="2" priority="3" operator="lessThanOrEqual">
      <formula>1</formula>
    </cfRule>
  </conditionalFormatting>
  <conditionalFormatting sqref="D23">
    <cfRule type="containsText" dxfId="1" priority="2" operator="containsText" text="Non">
      <formula>NOT(ISERROR(SEARCH("Non",D23)))</formula>
    </cfRule>
  </conditionalFormatting>
  <conditionalFormatting sqref="D23">
    <cfRule type="containsText" dxfId="0" priority="1" operator="containsText" text="Oui">
      <formula>NOT(ISERROR(SEARCH("Oui",D23)))</formula>
    </cfRule>
  </conditionalFormatting>
  <hyperlinks>
    <hyperlink ref="B4" r:id="rId1" xr:uid="{AB4935E6-BE0D-4025-8BDE-C6F9A6F5BF42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25" r:id="rId5" name="Saisienote">
          <controlPr defaultSize="0" autoLine="0" r:id="rId6">
            <anchor moveWithCells="1">
              <from>
                <xdr:col>0</xdr:col>
                <xdr:colOff>198120</xdr:colOff>
                <xdr:row>5</xdr:row>
                <xdr:rowOff>175260</xdr:rowOff>
              </from>
              <to>
                <xdr:col>1</xdr:col>
                <xdr:colOff>441960</xdr:colOff>
                <xdr:row>9</xdr:row>
                <xdr:rowOff>15240</xdr:rowOff>
              </to>
            </anchor>
          </controlPr>
        </control>
      </mc:Choice>
      <mc:Fallback>
        <control shapeId="1025" r:id="rId5" name="Saisienote"/>
      </mc:Fallback>
    </mc:AlternateContent>
    <mc:AlternateContent xmlns:mc="http://schemas.openxmlformats.org/markup-compatibility/2006">
      <mc:Choice Requires="x14">
        <control shapeId="1026" r:id="rId7" name="ModifierNote">
          <controlPr defaultSize="0" autoLine="0" r:id="rId8">
            <anchor moveWithCells="1">
              <from>
                <xdr:col>3</xdr:col>
                <xdr:colOff>655320</xdr:colOff>
                <xdr:row>5</xdr:row>
                <xdr:rowOff>175260</xdr:rowOff>
              </from>
              <to>
                <xdr:col>4</xdr:col>
                <xdr:colOff>891540</xdr:colOff>
                <xdr:row>9</xdr:row>
                <xdr:rowOff>0</xdr:rowOff>
              </to>
            </anchor>
          </controlPr>
        </control>
      </mc:Choice>
      <mc:Fallback>
        <control shapeId="1026" r:id="rId7" name="ModifierNote"/>
      </mc:Fallback>
    </mc:AlternateContent>
    <mc:AlternateContent xmlns:mc="http://schemas.openxmlformats.org/markup-compatibility/2006">
      <mc:Choice Requires="x14">
        <control shapeId="1027" r:id="rId9" name="EffacerTout">
          <controlPr defaultSize="0" autoLine="0" r:id="rId10">
            <anchor moveWithCells="1">
              <from>
                <xdr:col>9</xdr:col>
                <xdr:colOff>899160</xdr:colOff>
                <xdr:row>5</xdr:row>
                <xdr:rowOff>175260</xdr:rowOff>
              </from>
              <to>
                <xdr:col>11</xdr:col>
                <xdr:colOff>7620</xdr:colOff>
                <xdr:row>9</xdr:row>
                <xdr:rowOff>15240</xdr:rowOff>
              </to>
            </anchor>
          </controlPr>
        </control>
      </mc:Choice>
      <mc:Fallback>
        <control shapeId="1027" r:id="rId9" name="EffacerTout"/>
      </mc:Fallback>
    </mc:AlternateContent>
    <mc:AlternateContent xmlns:mc="http://schemas.openxmlformats.org/markup-compatibility/2006">
      <mc:Choice Requires="x14">
        <control shapeId="1028" r:id="rId11" name="EffacerNote">
          <controlPr defaultSize="0" autoLine="0" r:id="rId12">
            <anchor moveWithCells="1">
              <from>
                <xdr:col>6</xdr:col>
                <xdr:colOff>1013460</xdr:colOff>
                <xdr:row>6</xdr:row>
                <xdr:rowOff>7620</xdr:rowOff>
              </from>
              <to>
                <xdr:col>8</xdr:col>
                <xdr:colOff>15240</xdr:colOff>
                <xdr:row>9</xdr:row>
                <xdr:rowOff>15240</xdr:rowOff>
              </to>
            </anchor>
          </controlPr>
        </control>
      </mc:Choice>
      <mc:Fallback>
        <control shapeId="1028" r:id="rId11" name="EffacerNo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H24"/>
  <sheetViews>
    <sheetView zoomScaleNormal="100" workbookViewId="0">
      <selection activeCell="E31" sqref="E31"/>
    </sheetView>
  </sheetViews>
  <sheetFormatPr baseColWidth="10" defaultColWidth="11.44140625" defaultRowHeight="14.4" x14ac:dyDescent="0.3"/>
  <cols>
    <col min="1" max="1" width="12.33203125" customWidth="1"/>
    <col min="2" max="2" width="80.33203125" bestFit="1" customWidth="1"/>
    <col min="7" max="7" width="21.5546875" customWidth="1"/>
    <col min="8" max="8" width="22.5546875" bestFit="1" customWidth="1"/>
  </cols>
  <sheetData>
    <row r="1" spans="1:8" ht="15" thickBot="1" x14ac:dyDescent="0.35">
      <c r="B1" s="10" t="s">
        <v>16</v>
      </c>
    </row>
    <row r="2" spans="1:8" ht="15" thickBot="1" x14ac:dyDescent="0.35">
      <c r="A2" s="8"/>
      <c r="B2" s="9" t="s">
        <v>17</v>
      </c>
      <c r="C2" s="14" t="s">
        <v>18</v>
      </c>
      <c r="D2" s="111" t="s">
        <v>19</v>
      </c>
      <c r="E2" s="112"/>
      <c r="F2" s="113"/>
      <c r="G2" s="2" t="s">
        <v>20</v>
      </c>
    </row>
    <row r="3" spans="1:8" x14ac:dyDescent="0.3">
      <c r="A3" s="102" t="s">
        <v>21</v>
      </c>
      <c r="B3" s="51" t="s">
        <v>22</v>
      </c>
      <c r="C3" s="11">
        <v>5</v>
      </c>
      <c r="D3" s="89">
        <v>13</v>
      </c>
      <c r="E3" s="90">
        <v>16.5</v>
      </c>
      <c r="F3" s="91">
        <v>15</v>
      </c>
      <c r="G3" s="53">
        <f>IFERROR(AVERAGEIF(D3:F3,"&lt;&gt;""",D3:F3),"")</f>
        <v>14.833333333333334</v>
      </c>
      <c r="H3" s="1"/>
    </row>
    <row r="4" spans="1:8" x14ac:dyDescent="0.3">
      <c r="A4" s="103"/>
      <c r="B4" s="4" t="s">
        <v>23</v>
      </c>
      <c r="C4" s="12">
        <v>15</v>
      </c>
      <c r="D4" s="92">
        <v>11</v>
      </c>
      <c r="E4" s="93">
        <v>8</v>
      </c>
      <c r="F4" s="94"/>
      <c r="G4" s="54">
        <f t="shared" ref="G4:G23" si="0">IFERROR(AVERAGEIF(D4:F4,"&lt;&gt;""",D4:F4),"")</f>
        <v>9.5</v>
      </c>
      <c r="H4" s="1"/>
    </row>
    <row r="5" spans="1:8" x14ac:dyDescent="0.3">
      <c r="A5" s="103"/>
      <c r="B5" s="4" t="s">
        <v>24</v>
      </c>
      <c r="C5" s="12">
        <v>20</v>
      </c>
      <c r="D5" s="92">
        <v>14</v>
      </c>
      <c r="E5" s="93">
        <v>15</v>
      </c>
      <c r="F5" s="94"/>
      <c r="G5" s="54">
        <f t="shared" si="0"/>
        <v>14.5</v>
      </c>
      <c r="H5" s="1"/>
    </row>
    <row r="6" spans="1:8" x14ac:dyDescent="0.3">
      <c r="A6" s="103"/>
      <c r="B6" s="4" t="s">
        <v>25</v>
      </c>
      <c r="C6" s="12">
        <v>20</v>
      </c>
      <c r="D6" s="92">
        <v>12.5</v>
      </c>
      <c r="E6" s="93">
        <v>10</v>
      </c>
      <c r="F6" s="94">
        <v>8</v>
      </c>
      <c r="G6" s="54">
        <f t="shared" si="0"/>
        <v>10.166666666666666</v>
      </c>
      <c r="H6" s="1"/>
    </row>
    <row r="7" spans="1:8" x14ac:dyDescent="0.3">
      <c r="A7" s="103"/>
      <c r="B7" s="4" t="s">
        <v>26</v>
      </c>
      <c r="C7" s="12">
        <v>30</v>
      </c>
      <c r="D7" s="92">
        <v>14</v>
      </c>
      <c r="E7" s="93"/>
      <c r="F7" s="94"/>
      <c r="G7" s="54">
        <f t="shared" si="0"/>
        <v>14</v>
      </c>
      <c r="H7" s="1"/>
    </row>
    <row r="8" spans="1:8" ht="15" thickBot="1" x14ac:dyDescent="0.35">
      <c r="A8" s="104"/>
      <c r="B8" s="5" t="s">
        <v>27</v>
      </c>
      <c r="C8" s="13">
        <v>10</v>
      </c>
      <c r="D8" s="95">
        <v>14</v>
      </c>
      <c r="E8" s="96"/>
      <c r="F8" s="97"/>
      <c r="G8" s="55">
        <f t="shared" si="0"/>
        <v>14</v>
      </c>
      <c r="H8" s="1"/>
    </row>
    <row r="9" spans="1:8" x14ac:dyDescent="0.3">
      <c r="D9" s="98"/>
      <c r="E9" s="98"/>
      <c r="F9" s="98"/>
      <c r="G9" s="56"/>
    </row>
    <row r="10" spans="1:8" ht="14.25" customHeight="1" thickBot="1" x14ac:dyDescent="0.35">
      <c r="D10" s="98"/>
      <c r="E10" s="98"/>
      <c r="F10" s="98"/>
      <c r="G10" s="56"/>
    </row>
    <row r="11" spans="1:8" x14ac:dyDescent="0.3">
      <c r="A11" s="105" t="s">
        <v>28</v>
      </c>
      <c r="B11" s="51" t="s">
        <v>22</v>
      </c>
      <c r="C11" s="11">
        <v>5</v>
      </c>
      <c r="D11" s="89">
        <v>13</v>
      </c>
      <c r="E11" s="90">
        <v>16.5</v>
      </c>
      <c r="F11" s="91">
        <v>15</v>
      </c>
      <c r="G11" s="53">
        <f t="shared" si="0"/>
        <v>14.833333333333334</v>
      </c>
    </row>
    <row r="12" spans="1:8" x14ac:dyDescent="0.3">
      <c r="A12" s="106"/>
      <c r="B12" s="4" t="s">
        <v>29</v>
      </c>
      <c r="C12" s="12">
        <v>20</v>
      </c>
      <c r="D12" s="92">
        <v>15.75</v>
      </c>
      <c r="E12" s="93">
        <v>17</v>
      </c>
      <c r="F12" s="94"/>
      <c r="G12" s="54">
        <f t="shared" si="0"/>
        <v>16.375</v>
      </c>
    </row>
    <row r="13" spans="1:8" x14ac:dyDescent="0.3">
      <c r="A13" s="106"/>
      <c r="B13" s="4" t="s">
        <v>30</v>
      </c>
      <c r="C13" s="12">
        <v>15</v>
      </c>
      <c r="D13" s="92">
        <v>10</v>
      </c>
      <c r="E13" s="93">
        <v>16</v>
      </c>
      <c r="F13" s="94"/>
      <c r="G13" s="54">
        <f t="shared" si="0"/>
        <v>13</v>
      </c>
    </row>
    <row r="14" spans="1:8" ht="15.75" customHeight="1" x14ac:dyDescent="0.3">
      <c r="A14" s="106"/>
      <c r="B14" s="4" t="s">
        <v>31</v>
      </c>
      <c r="C14" s="12">
        <v>20</v>
      </c>
      <c r="D14" s="92">
        <v>15</v>
      </c>
      <c r="E14" s="93">
        <v>15.5</v>
      </c>
      <c r="F14" s="94">
        <v>14</v>
      </c>
      <c r="G14" s="54">
        <f t="shared" si="0"/>
        <v>14.833333333333334</v>
      </c>
    </row>
    <row r="15" spans="1:8" ht="16.5" customHeight="1" thickBot="1" x14ac:dyDescent="0.35">
      <c r="A15" s="107"/>
      <c r="B15" s="5" t="s">
        <v>32</v>
      </c>
      <c r="C15" s="13">
        <v>40</v>
      </c>
      <c r="D15" s="95">
        <v>12.5</v>
      </c>
      <c r="E15" s="96"/>
      <c r="F15" s="97"/>
      <c r="G15" s="55">
        <f t="shared" si="0"/>
        <v>12.5</v>
      </c>
    </row>
    <row r="16" spans="1:8" x14ac:dyDescent="0.3">
      <c r="D16" s="98"/>
      <c r="E16" s="98"/>
      <c r="F16" s="98"/>
      <c r="G16" s="56"/>
    </row>
    <row r="17" spans="1:7" ht="15" thickBot="1" x14ac:dyDescent="0.35">
      <c r="D17" s="98"/>
      <c r="E17" s="98"/>
      <c r="F17" s="98"/>
      <c r="G17" s="56"/>
    </row>
    <row r="18" spans="1:7" x14ac:dyDescent="0.3">
      <c r="A18" s="108" t="s">
        <v>10</v>
      </c>
      <c r="B18" s="51" t="s">
        <v>22</v>
      </c>
      <c r="C18" s="11">
        <v>5</v>
      </c>
      <c r="D18" s="89">
        <v>13</v>
      </c>
      <c r="E18" s="90">
        <v>16.5</v>
      </c>
      <c r="F18" s="91">
        <v>15</v>
      </c>
      <c r="G18" s="53">
        <f t="shared" si="0"/>
        <v>14.833333333333334</v>
      </c>
    </row>
    <row r="19" spans="1:7" x14ac:dyDescent="0.3">
      <c r="A19" s="109"/>
      <c r="B19" s="4" t="s">
        <v>33</v>
      </c>
      <c r="C19" s="12">
        <v>15</v>
      </c>
      <c r="D19" s="92">
        <v>10</v>
      </c>
      <c r="E19" s="93">
        <v>14</v>
      </c>
      <c r="F19" s="94">
        <v>10</v>
      </c>
      <c r="G19" s="54">
        <f t="shared" si="0"/>
        <v>11.333333333333334</v>
      </c>
    </row>
    <row r="20" spans="1:7" x14ac:dyDescent="0.3">
      <c r="A20" s="109"/>
      <c r="B20" s="4" t="s">
        <v>34</v>
      </c>
      <c r="C20" s="12">
        <v>15</v>
      </c>
      <c r="D20" s="92">
        <v>9.5</v>
      </c>
      <c r="E20" s="93">
        <v>16.66</v>
      </c>
      <c r="F20" s="94"/>
      <c r="G20" s="54">
        <f t="shared" si="0"/>
        <v>13.08</v>
      </c>
    </row>
    <row r="21" spans="1:7" x14ac:dyDescent="0.3">
      <c r="A21" s="109"/>
      <c r="B21" s="4" t="s">
        <v>35</v>
      </c>
      <c r="C21" s="12">
        <v>25</v>
      </c>
      <c r="D21" s="92">
        <v>19.5</v>
      </c>
      <c r="E21" s="93">
        <v>18.5</v>
      </c>
      <c r="F21" s="94">
        <v>18</v>
      </c>
      <c r="G21" s="54">
        <f t="shared" si="0"/>
        <v>18.666666666666668</v>
      </c>
    </row>
    <row r="22" spans="1:7" x14ac:dyDescent="0.3">
      <c r="A22" s="109"/>
      <c r="B22" s="4" t="s">
        <v>36</v>
      </c>
      <c r="C22" s="12">
        <v>15</v>
      </c>
      <c r="D22" s="92">
        <v>17.5</v>
      </c>
      <c r="E22" s="93"/>
      <c r="F22" s="94"/>
      <c r="G22" s="54">
        <f t="shared" si="0"/>
        <v>17.5</v>
      </c>
    </row>
    <row r="23" spans="1:7" x14ac:dyDescent="0.3">
      <c r="A23" s="109"/>
      <c r="B23" s="4" t="s">
        <v>37</v>
      </c>
      <c r="C23" s="12">
        <v>10</v>
      </c>
      <c r="D23" s="92">
        <v>10</v>
      </c>
      <c r="E23" s="93">
        <v>14.329999923706055</v>
      </c>
      <c r="F23" s="94"/>
      <c r="G23" s="54">
        <f t="shared" si="0"/>
        <v>12.164999961853027</v>
      </c>
    </row>
    <row r="24" spans="1:7" ht="15" thickBot="1" x14ac:dyDescent="0.35">
      <c r="A24" s="110"/>
      <c r="B24" s="5" t="s">
        <v>38</v>
      </c>
      <c r="C24" s="13">
        <v>15</v>
      </c>
      <c r="D24" s="95">
        <v>14.5</v>
      </c>
      <c r="E24" s="96"/>
      <c r="F24" s="97"/>
      <c r="G24" s="55">
        <f>IFERROR(AVERAGEIF(D24:F24,"&lt;&gt;""",D24:F24),"")</f>
        <v>14.5</v>
      </c>
    </row>
  </sheetData>
  <sheetProtection sheet="1" objects="1" scenarios="1"/>
  <mergeCells count="4">
    <mergeCell ref="A3:A8"/>
    <mergeCell ref="A11:A15"/>
    <mergeCell ref="A18:A24"/>
    <mergeCell ref="D2:F2"/>
  </mergeCells>
  <pageMargins left="0.7" right="0.7" top="0.75" bottom="0.75" header="0.3" footer="0.3"/>
  <ignoredErrors>
    <ignoredError sqref="G3:G23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G33"/>
  <sheetViews>
    <sheetView topLeftCell="A2" zoomScaleNormal="100" workbookViewId="0">
      <selection activeCell="F29" sqref="F29"/>
    </sheetView>
  </sheetViews>
  <sheetFormatPr baseColWidth="10" defaultColWidth="11.44140625" defaultRowHeight="14.4" x14ac:dyDescent="0.3"/>
  <cols>
    <col min="2" max="2" width="59" bestFit="1" customWidth="1"/>
    <col min="7" max="7" width="22.109375" customWidth="1"/>
  </cols>
  <sheetData>
    <row r="1" spans="1:7" ht="15" thickBot="1" x14ac:dyDescent="0.35">
      <c r="B1" s="10" t="s">
        <v>39</v>
      </c>
    </row>
    <row r="2" spans="1:7" ht="15" thickBot="1" x14ac:dyDescent="0.35">
      <c r="B2" s="6" t="s">
        <v>40</v>
      </c>
      <c r="C2" s="21" t="s">
        <v>18</v>
      </c>
      <c r="D2" s="114" t="s">
        <v>19</v>
      </c>
      <c r="E2" s="115"/>
      <c r="F2" s="116"/>
      <c r="G2" s="2" t="s">
        <v>20</v>
      </c>
    </row>
    <row r="3" spans="1:7" x14ac:dyDescent="0.3">
      <c r="A3" s="102" t="s">
        <v>21</v>
      </c>
      <c r="B3" s="15" t="s">
        <v>41</v>
      </c>
      <c r="C3" s="11">
        <v>5</v>
      </c>
      <c r="D3" s="89">
        <v>14</v>
      </c>
      <c r="E3" s="90"/>
      <c r="F3" s="91"/>
      <c r="G3" s="53">
        <f>IFERROR(AVERAGEIF(D3:F3,"&lt;&gt;""",D3:F3),"")</f>
        <v>14</v>
      </c>
    </row>
    <row r="4" spans="1:7" x14ac:dyDescent="0.3">
      <c r="A4" s="103"/>
      <c r="B4" s="7" t="s">
        <v>42</v>
      </c>
      <c r="C4" s="12">
        <v>15</v>
      </c>
      <c r="D4" s="92">
        <v>17.5</v>
      </c>
      <c r="E4" s="93">
        <v>17</v>
      </c>
      <c r="F4" s="94"/>
      <c r="G4" s="54">
        <f t="shared" ref="G4:G33" si="0">IFERROR(AVERAGEIF(D4:F4,"&lt;&gt;""",D4:F4),"")</f>
        <v>17.25</v>
      </c>
    </row>
    <row r="5" spans="1:7" x14ac:dyDescent="0.3">
      <c r="A5" s="103"/>
      <c r="B5" s="7" t="s">
        <v>43</v>
      </c>
      <c r="C5" s="12">
        <v>15</v>
      </c>
      <c r="D5" s="92">
        <v>15.75</v>
      </c>
      <c r="E5" s="93"/>
      <c r="F5" s="94"/>
      <c r="G5" s="54">
        <f>IFERROR(AVERAGEIF(D5:F5,"&lt;&gt;""",D5:F5),"")</f>
        <v>15.75</v>
      </c>
    </row>
    <row r="6" spans="1:7" x14ac:dyDescent="0.3">
      <c r="A6" s="103"/>
      <c r="B6" s="7" t="s">
        <v>44</v>
      </c>
      <c r="C6" s="12">
        <v>15</v>
      </c>
      <c r="D6" s="92">
        <v>15.5</v>
      </c>
      <c r="E6" s="93"/>
      <c r="F6" s="94"/>
      <c r="G6" s="54">
        <f t="shared" si="0"/>
        <v>15.5</v>
      </c>
    </row>
    <row r="7" spans="1:7" x14ac:dyDescent="0.3">
      <c r="A7" s="103"/>
      <c r="B7" s="7" t="s">
        <v>45</v>
      </c>
      <c r="C7" s="12">
        <v>10</v>
      </c>
      <c r="D7" s="92"/>
      <c r="E7" s="93"/>
      <c r="F7" s="94"/>
      <c r="G7" s="54" t="str">
        <f t="shared" si="0"/>
        <v/>
      </c>
    </row>
    <row r="8" spans="1:7" x14ac:dyDescent="0.3">
      <c r="A8" s="103"/>
      <c r="B8" s="16" t="s">
        <v>46</v>
      </c>
      <c r="C8" s="12">
        <v>20</v>
      </c>
      <c r="D8" s="92">
        <v>14</v>
      </c>
      <c r="E8" s="93"/>
      <c r="F8" s="94"/>
      <c r="G8" s="54">
        <f t="shared" si="0"/>
        <v>14</v>
      </c>
    </row>
    <row r="9" spans="1:7" x14ac:dyDescent="0.3">
      <c r="A9" s="103"/>
      <c r="B9" s="7" t="s">
        <v>47</v>
      </c>
      <c r="C9" s="12">
        <v>10</v>
      </c>
      <c r="D9" s="92"/>
      <c r="E9" s="93"/>
      <c r="F9" s="94"/>
      <c r="G9" s="54" t="str">
        <f t="shared" si="0"/>
        <v/>
      </c>
    </row>
    <row r="10" spans="1:7" x14ac:dyDescent="0.3">
      <c r="A10" s="103"/>
      <c r="B10" s="16" t="s">
        <v>48</v>
      </c>
      <c r="C10" s="12">
        <v>5</v>
      </c>
      <c r="D10" s="92"/>
      <c r="E10" s="93"/>
      <c r="F10" s="94"/>
      <c r="G10" s="54" t="str">
        <f t="shared" si="0"/>
        <v/>
      </c>
    </row>
    <row r="11" spans="1:7" ht="15" thickBot="1" x14ac:dyDescent="0.35">
      <c r="A11" s="104"/>
      <c r="B11" s="17" t="s">
        <v>49</v>
      </c>
      <c r="C11" s="13">
        <v>5</v>
      </c>
      <c r="D11" s="95"/>
      <c r="E11" s="96"/>
      <c r="F11" s="97"/>
      <c r="G11" s="55" t="str">
        <f t="shared" si="0"/>
        <v/>
      </c>
    </row>
    <row r="12" spans="1:7" x14ac:dyDescent="0.3">
      <c r="D12" s="98"/>
      <c r="E12" s="98"/>
      <c r="F12" s="98"/>
      <c r="G12" s="56"/>
    </row>
    <row r="13" spans="1:7" ht="15" thickBot="1" x14ac:dyDescent="0.35">
      <c r="D13" s="98"/>
      <c r="E13" s="98"/>
      <c r="F13" s="98"/>
      <c r="G13" s="56"/>
    </row>
    <row r="14" spans="1:7" x14ac:dyDescent="0.3">
      <c r="A14" s="105" t="s">
        <v>28</v>
      </c>
      <c r="B14" s="18" t="s">
        <v>41</v>
      </c>
      <c r="C14" s="11">
        <v>5</v>
      </c>
      <c r="D14" s="89">
        <v>14</v>
      </c>
      <c r="E14" s="90"/>
      <c r="F14" s="91"/>
      <c r="G14" s="53">
        <f t="shared" si="0"/>
        <v>14</v>
      </c>
    </row>
    <row r="15" spans="1:7" x14ac:dyDescent="0.3">
      <c r="A15" s="106"/>
      <c r="B15" s="4" t="s">
        <v>50</v>
      </c>
      <c r="C15" s="12">
        <v>10</v>
      </c>
      <c r="D15" s="92">
        <v>12</v>
      </c>
      <c r="E15" s="93"/>
      <c r="F15" s="94"/>
      <c r="G15" s="54">
        <f t="shared" si="0"/>
        <v>12</v>
      </c>
    </row>
    <row r="16" spans="1:7" x14ac:dyDescent="0.3">
      <c r="A16" s="106"/>
      <c r="B16" s="4" t="s">
        <v>51</v>
      </c>
      <c r="C16" s="12">
        <v>15</v>
      </c>
      <c r="D16" s="92">
        <v>10</v>
      </c>
      <c r="E16" s="93"/>
      <c r="F16" s="94"/>
      <c r="G16" s="54">
        <f t="shared" si="0"/>
        <v>10</v>
      </c>
    </row>
    <row r="17" spans="1:7" x14ac:dyDescent="0.3">
      <c r="A17" s="106"/>
      <c r="B17" s="4" t="s">
        <v>52</v>
      </c>
      <c r="C17" s="12">
        <v>15</v>
      </c>
      <c r="D17" s="92">
        <v>14</v>
      </c>
      <c r="E17" s="93">
        <v>18</v>
      </c>
      <c r="F17" s="94"/>
      <c r="G17" s="54">
        <f t="shared" si="0"/>
        <v>16</v>
      </c>
    </row>
    <row r="18" spans="1:7" x14ac:dyDescent="0.3">
      <c r="A18" s="106"/>
      <c r="B18" s="4" t="s">
        <v>53</v>
      </c>
      <c r="C18" s="12">
        <v>15</v>
      </c>
      <c r="D18" s="92"/>
      <c r="E18" s="93"/>
      <c r="F18" s="94"/>
      <c r="G18" s="54" t="str">
        <f t="shared" si="0"/>
        <v/>
      </c>
    </row>
    <row r="19" spans="1:7" x14ac:dyDescent="0.3">
      <c r="A19" s="106"/>
      <c r="B19" s="19" t="s">
        <v>46</v>
      </c>
      <c r="C19" s="12">
        <v>10</v>
      </c>
      <c r="D19" s="92"/>
      <c r="E19" s="93"/>
      <c r="F19" s="94"/>
      <c r="G19" s="54" t="str">
        <f t="shared" si="0"/>
        <v/>
      </c>
    </row>
    <row r="20" spans="1:7" x14ac:dyDescent="0.3">
      <c r="A20" s="106"/>
      <c r="B20" s="4" t="s">
        <v>54</v>
      </c>
      <c r="C20" s="12">
        <v>10</v>
      </c>
      <c r="D20" s="92"/>
      <c r="E20" s="93"/>
      <c r="F20" s="94"/>
      <c r="G20" s="54" t="str">
        <f t="shared" si="0"/>
        <v/>
      </c>
    </row>
    <row r="21" spans="1:7" x14ac:dyDescent="0.3">
      <c r="A21" s="106"/>
      <c r="B21" s="4" t="s">
        <v>55</v>
      </c>
      <c r="C21" s="12">
        <v>10</v>
      </c>
      <c r="D21" s="92">
        <v>13.5</v>
      </c>
      <c r="E21" s="93"/>
      <c r="F21" s="94"/>
      <c r="G21" s="54">
        <f t="shared" si="0"/>
        <v>13.5</v>
      </c>
    </row>
    <row r="22" spans="1:7" x14ac:dyDescent="0.3">
      <c r="A22" s="106"/>
      <c r="B22" s="19" t="str" cm="1">
        <f t="array" ref="B22">_xlfn.IFS(B19&gt;1,"Refusé",AND(B19&lt;=1,B21&gt;=2),"Accepté",B21=0,"Refusé",Semestre2!G6="ABI","Refusé")</f>
        <v>Refusé</v>
      </c>
      <c r="C22" s="12">
        <v>5</v>
      </c>
      <c r="D22" s="92"/>
      <c r="E22" s="93"/>
      <c r="F22" s="94"/>
      <c r="G22" s="54" t="str">
        <f t="shared" si="0"/>
        <v/>
      </c>
    </row>
    <row r="23" spans="1:7" ht="15" thickBot="1" x14ac:dyDescent="0.35">
      <c r="A23" s="107"/>
      <c r="B23" s="20" t="s">
        <v>49</v>
      </c>
      <c r="C23" s="13">
        <v>5</v>
      </c>
      <c r="D23" s="95"/>
      <c r="E23" s="96"/>
      <c r="F23" s="97"/>
      <c r="G23" s="55" t="str">
        <f t="shared" si="0"/>
        <v/>
      </c>
    </row>
    <row r="24" spans="1:7" x14ac:dyDescent="0.3">
      <c r="D24" s="98"/>
      <c r="E24" s="98"/>
      <c r="F24" s="98"/>
      <c r="G24" s="56"/>
    </row>
    <row r="25" spans="1:7" ht="15" thickBot="1" x14ac:dyDescent="0.35">
      <c r="D25" s="98"/>
      <c r="E25" s="98"/>
      <c r="F25" s="98"/>
      <c r="G25" s="56"/>
    </row>
    <row r="26" spans="1:7" x14ac:dyDescent="0.3">
      <c r="A26" s="108" t="s">
        <v>10</v>
      </c>
      <c r="B26" s="15" t="s">
        <v>41</v>
      </c>
      <c r="C26" s="11">
        <v>5</v>
      </c>
      <c r="D26" s="89">
        <v>14</v>
      </c>
      <c r="E26" s="90"/>
      <c r="F26" s="91"/>
      <c r="G26" s="53">
        <f t="shared" si="0"/>
        <v>14</v>
      </c>
    </row>
    <row r="27" spans="1:7" x14ac:dyDescent="0.3">
      <c r="A27" s="109"/>
      <c r="B27" s="7" t="s">
        <v>56</v>
      </c>
      <c r="C27" s="12">
        <v>15</v>
      </c>
      <c r="D27" s="92">
        <v>10</v>
      </c>
      <c r="E27" s="93"/>
      <c r="F27" s="94"/>
      <c r="G27" s="54">
        <f t="shared" si="0"/>
        <v>10</v>
      </c>
    </row>
    <row r="28" spans="1:7" x14ac:dyDescent="0.3">
      <c r="A28" s="109"/>
      <c r="B28" s="7" t="s">
        <v>57</v>
      </c>
      <c r="C28" s="12">
        <v>15</v>
      </c>
      <c r="D28" s="92"/>
      <c r="E28" s="93"/>
      <c r="F28" s="94"/>
      <c r="G28" s="54" t="str">
        <f t="shared" si="0"/>
        <v/>
      </c>
    </row>
    <row r="29" spans="1:7" x14ac:dyDescent="0.3">
      <c r="A29" s="109"/>
      <c r="B29" s="7" t="s">
        <v>58</v>
      </c>
      <c r="C29" s="12">
        <v>25</v>
      </c>
      <c r="D29" s="92">
        <v>16</v>
      </c>
      <c r="E29" s="93">
        <v>11</v>
      </c>
      <c r="F29" s="94">
        <v>15</v>
      </c>
      <c r="G29" s="54">
        <f t="shared" si="0"/>
        <v>14</v>
      </c>
    </row>
    <row r="30" spans="1:7" x14ac:dyDescent="0.3">
      <c r="A30" s="109"/>
      <c r="B30" s="16" t="s">
        <v>46</v>
      </c>
      <c r="C30" s="12">
        <v>20</v>
      </c>
      <c r="D30" s="92"/>
      <c r="E30" s="93"/>
      <c r="F30" s="94"/>
      <c r="G30" s="54" t="str">
        <f t="shared" si="0"/>
        <v/>
      </c>
    </row>
    <row r="31" spans="1:7" x14ac:dyDescent="0.3">
      <c r="A31" s="109"/>
      <c r="B31" s="7" t="s">
        <v>59</v>
      </c>
      <c r="C31" s="22">
        <v>10</v>
      </c>
      <c r="D31" s="92"/>
      <c r="E31" s="93"/>
      <c r="F31" s="94"/>
      <c r="G31" s="54" t="str">
        <f t="shared" si="0"/>
        <v/>
      </c>
    </row>
    <row r="32" spans="1:7" x14ac:dyDescent="0.3">
      <c r="A32" s="109"/>
      <c r="B32" s="16" t="s">
        <v>48</v>
      </c>
      <c r="C32" s="12">
        <v>5</v>
      </c>
      <c r="D32" s="92"/>
      <c r="E32" s="93"/>
      <c r="F32" s="94"/>
      <c r="G32" s="54" t="str">
        <f t="shared" si="0"/>
        <v/>
      </c>
    </row>
    <row r="33" spans="1:7" ht="15" thickBot="1" x14ac:dyDescent="0.35">
      <c r="A33" s="110"/>
      <c r="B33" s="17" t="s">
        <v>49</v>
      </c>
      <c r="C33" s="23">
        <v>5</v>
      </c>
      <c r="D33" s="95"/>
      <c r="E33" s="96"/>
      <c r="F33" s="97"/>
      <c r="G33" s="55" t="str">
        <f t="shared" si="0"/>
        <v/>
      </c>
    </row>
  </sheetData>
  <sheetProtection sheet="1" objects="1" scenarios="1"/>
  <mergeCells count="4">
    <mergeCell ref="A3:A11"/>
    <mergeCell ref="A14:A23"/>
    <mergeCell ref="A26:A33"/>
    <mergeCell ref="D2:F2"/>
  </mergeCells>
  <pageMargins left="0.7" right="0.7" top="0.75" bottom="0.75" header="0.3" footer="0.3"/>
  <pageSetup paperSize="9" orientation="portrait" r:id="rId1"/>
  <ignoredErrors>
    <ignoredError sqref="G3:G33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F4DD4-2ED9-4588-903E-1248F2CCE83A}">
  <sheetPr codeName="Feuil4"/>
  <dimension ref="A1:K38"/>
  <sheetViews>
    <sheetView zoomScaleNormal="100" workbookViewId="0">
      <selection activeCell="H9" sqref="H9"/>
    </sheetView>
  </sheetViews>
  <sheetFormatPr baseColWidth="10" defaultColWidth="11.44140625" defaultRowHeight="14.4" x14ac:dyDescent="0.3"/>
  <cols>
    <col min="2" max="2" width="11.44140625" customWidth="1"/>
    <col min="7" max="7" width="20.5546875" customWidth="1"/>
    <col min="8" max="8" width="19.5546875" customWidth="1"/>
    <col min="9" max="9" width="20.33203125" customWidth="1"/>
    <col min="11" max="11" width="22.6640625" customWidth="1"/>
  </cols>
  <sheetData>
    <row r="1" spans="1:11" x14ac:dyDescent="0.3">
      <c r="A1" s="27" t="s">
        <v>60</v>
      </c>
      <c r="B1" s="27" t="s">
        <v>61</v>
      </c>
    </row>
    <row r="2" spans="1:11" ht="15" thickBot="1" x14ac:dyDescent="0.35">
      <c r="A2" s="27" t="s">
        <v>62</v>
      </c>
      <c r="B2" s="27" t="s">
        <v>28</v>
      </c>
    </row>
    <row r="3" spans="1:11" ht="28.8" x14ac:dyDescent="0.3">
      <c r="A3" s="27" t="s">
        <v>63</v>
      </c>
      <c r="B3" s="27" t="s">
        <v>32</v>
      </c>
      <c r="H3" s="70" t="s">
        <v>64</v>
      </c>
      <c r="I3" s="71" t="s">
        <v>65</v>
      </c>
      <c r="K3" s="57" t="s">
        <v>66</v>
      </c>
    </row>
    <row r="4" spans="1:11" ht="15" thickBot="1" x14ac:dyDescent="0.35">
      <c r="A4" s="27" t="s">
        <v>19</v>
      </c>
      <c r="B4" s="52">
        <v>1</v>
      </c>
      <c r="H4" s="73">
        <f>COUNTIF(Semestre1!D3:F24,"=ABI")</f>
        <v>0</v>
      </c>
      <c r="I4" s="72">
        <f>COUNTIF(Semestre2!D3:F33,"=ABI")</f>
        <v>0</v>
      </c>
      <c r="K4" s="25" t="str">
        <f>IF(AND(H5="Oui",I5="Oui"),"Oui","Non")</f>
        <v>Oui</v>
      </c>
    </row>
    <row r="5" spans="1:11" ht="15" thickBot="1" x14ac:dyDescent="0.35">
      <c r="B5" s="117" t="s">
        <v>16</v>
      </c>
      <c r="C5" s="118"/>
      <c r="D5" s="119" t="s">
        <v>39</v>
      </c>
      <c r="E5" s="120"/>
      <c r="F5" s="26"/>
      <c r="G5" s="76" t="s">
        <v>67</v>
      </c>
      <c r="H5" s="74" t="str">
        <f>IF(H4=0,"Oui","Non")</f>
        <v>Oui</v>
      </c>
      <c r="I5" s="75" t="str">
        <f>IF(I4=0,"Oui","Non")</f>
        <v>Oui</v>
      </c>
    </row>
    <row r="6" spans="1:11" ht="15" customHeight="1" x14ac:dyDescent="0.3">
      <c r="A6" s="121" t="s">
        <v>68</v>
      </c>
      <c r="B6" s="34">
        <f>IFERROR(IF(Semestre1!G3="","",Semestre1!G3*Semestre1!C3),"")</f>
        <v>74.166666666666671</v>
      </c>
      <c r="C6" s="35">
        <f>IF(Semestre1!G3="","",Semestre1!C3)</f>
        <v>5</v>
      </c>
      <c r="D6" s="35">
        <f>IFERROR(IF(Semestre2!G3="","",Semestre2!G3*Semestre2!C3),"")</f>
        <v>70</v>
      </c>
      <c r="E6" s="36">
        <f>IF(Semestre2!G3="","",Semestre2!C3)</f>
        <v>5</v>
      </c>
      <c r="I6" s="26"/>
    </row>
    <row r="7" spans="1:11" x14ac:dyDescent="0.3">
      <c r="A7" s="122"/>
      <c r="B7" s="29">
        <f>IFERROR(IF(Semestre1!G4="","",Semestre1!G4*Semestre1!C4),"")</f>
        <v>142.5</v>
      </c>
      <c r="C7" s="27">
        <f>IF(Semestre1!G4="","",Semestre1!C4)</f>
        <v>15</v>
      </c>
      <c r="D7" s="27">
        <f>IFERROR(IF(Semestre2!G4="","",Semestre2!G4*Semestre2!C4),"")</f>
        <v>258.75</v>
      </c>
      <c r="E7" s="30">
        <f>IF(Semestre2!G4="","",Semestre2!C4)</f>
        <v>15</v>
      </c>
    </row>
    <row r="8" spans="1:11" ht="15" thickBot="1" x14ac:dyDescent="0.35">
      <c r="A8" s="122"/>
      <c r="B8" s="29">
        <f>IFERROR(IF(Semestre1!G5="","",Semestre1!G5*Semestre1!C5),"")</f>
        <v>290</v>
      </c>
      <c r="C8" s="27">
        <f>IF(Semestre1!G5="","",Semestre1!C5)</f>
        <v>20</v>
      </c>
      <c r="D8" s="27">
        <f>IFERROR(IF(Semestre2!G5="","",Semestre2!G5*Semestre2!C5),"")</f>
        <v>236.25</v>
      </c>
      <c r="E8" s="30">
        <f>IF(Semestre2!G5="","",Semestre2!C5)</f>
        <v>15</v>
      </c>
    </row>
    <row r="9" spans="1:11" ht="28.8" x14ac:dyDescent="0.3">
      <c r="A9" s="122"/>
      <c r="B9" s="29">
        <f>IFERROR(IF(Semestre1!G6="","",Semestre1!G6*Semestre1!C6),"")</f>
        <v>203.33333333333331</v>
      </c>
      <c r="C9" s="27">
        <f>IF(Semestre1!G6="","",Semestre1!C6)</f>
        <v>20</v>
      </c>
      <c r="D9" s="27">
        <f>IFERROR(IF(Semestre2!G6="","",Semestre2!G6*Semestre2!C6),"")</f>
        <v>232.5</v>
      </c>
      <c r="E9" s="30">
        <f>IF(Semestre2!G6="","",Semestre2!C6)</f>
        <v>15</v>
      </c>
      <c r="G9" s="66" t="s">
        <v>69</v>
      </c>
      <c r="H9" s="67" t="str">
        <f>IF(AND(Accueil!A23=0, Accueil!C23&gt;=2), "Accepté", "Refusé")</f>
        <v>Accepté</v>
      </c>
    </row>
    <row r="10" spans="1:11" ht="15" thickBot="1" x14ac:dyDescent="0.35">
      <c r="A10" s="122"/>
      <c r="B10" s="29">
        <f>IFERROR(IF(Semestre1!G7="","",Semestre1!G7*Semestre1!C7),"")</f>
        <v>420</v>
      </c>
      <c r="C10" s="27">
        <f>IF(Semestre1!G7="","",Semestre1!C7)</f>
        <v>30</v>
      </c>
      <c r="D10" s="27" t="str">
        <f>IFERROR(IF(Semestre2!G7="","",Semestre2!G7*Semestre2!C7),"")</f>
        <v/>
      </c>
      <c r="E10" s="30" t="str">
        <f>IF(Semestre2!G7="","",Semestre2!C7)</f>
        <v/>
      </c>
      <c r="G10" s="68" t="s">
        <v>70</v>
      </c>
      <c r="H10" s="69" t="str">
        <f>IF(K4="Oui","Accepté","Refusé")</f>
        <v>Accepté</v>
      </c>
    </row>
    <row r="11" spans="1:11" x14ac:dyDescent="0.3">
      <c r="A11" s="122"/>
      <c r="B11" s="29">
        <f>IFERROR(IF(Semestre1!G8="","",Semestre1!G8*Semestre1!C8),"")</f>
        <v>140</v>
      </c>
      <c r="C11" s="27">
        <f>IF(Semestre1!G8="","",Semestre1!C8)</f>
        <v>10</v>
      </c>
      <c r="D11" s="27">
        <f>IFERROR(IF(Semestre2!G8="","",Semestre2!G8*Semestre2!C8),"")</f>
        <v>280</v>
      </c>
      <c r="E11" s="30">
        <f>IF(Semestre2!G8="","",Semestre2!C8)</f>
        <v>20</v>
      </c>
    </row>
    <row r="12" spans="1:11" x14ac:dyDescent="0.3">
      <c r="A12" s="122"/>
      <c r="B12" s="29"/>
      <c r="C12" s="27"/>
      <c r="D12" s="27" t="str">
        <f>IFERROR(IF(Semestre2!G9="","",Semestre2!G9*Semestre2!C9),"")</f>
        <v/>
      </c>
      <c r="E12" s="30" t="str">
        <f>IF(Semestre2!G9="","",Semestre2!C9)</f>
        <v/>
      </c>
    </row>
    <row r="13" spans="1:11" x14ac:dyDescent="0.3">
      <c r="A13" s="122"/>
      <c r="B13" s="29"/>
      <c r="C13" s="27"/>
      <c r="D13" s="27" t="str">
        <f>IFERROR(IF(Semestre2!G10="","",Semestre2!G10*Semestre2!C10),"")</f>
        <v/>
      </c>
      <c r="E13" s="30" t="str">
        <f>IF(Semestre2!G10="","",Semestre2!C10)</f>
        <v/>
      </c>
      <c r="G13" s="58"/>
      <c r="H13" s="26"/>
    </row>
    <row r="14" spans="1:11" ht="15" customHeight="1" x14ac:dyDescent="0.3">
      <c r="A14" s="122"/>
      <c r="B14" s="43"/>
      <c r="C14" s="28"/>
      <c r="D14" s="28" t="str">
        <f>IFERROR(IF(Semestre2!G11="","",Semestre2!G11*Semestre2!C11),"")</f>
        <v/>
      </c>
      <c r="E14" s="44" t="str">
        <f>IF(Semestre2!G11="","",Semestre2!C11)</f>
        <v/>
      </c>
      <c r="G14" s="58"/>
      <c r="H14" s="26"/>
    </row>
    <row r="15" spans="1:11" x14ac:dyDescent="0.3">
      <c r="A15" s="49" t="s">
        <v>71</v>
      </c>
      <c r="B15" s="34">
        <f>SUMIF(B6:B11,"&lt;&gt;0",B6:B11)</f>
        <v>1270</v>
      </c>
      <c r="C15" s="35">
        <f>SUMIF(C6:C11,"&lt;&gt;0",C6:C11)</f>
        <v>100</v>
      </c>
      <c r="D15" s="35">
        <f>SUMIF(D6:D14,"&lt;&gt;0",D6:D14)</f>
        <v>1077.5</v>
      </c>
      <c r="E15" s="36">
        <f>SUMIF(E6:E14,"&lt;&gt;0",E6:E14)</f>
        <v>70</v>
      </c>
      <c r="G15" s="58"/>
      <c r="H15" s="26"/>
    </row>
    <row r="16" spans="1:11" x14ac:dyDescent="0.3">
      <c r="A16" s="45" t="s">
        <v>72</v>
      </c>
      <c r="B16" s="46">
        <f>IFERROR(B15/C15,"")</f>
        <v>12.7</v>
      </c>
      <c r="C16" s="47"/>
      <c r="D16" s="47">
        <f>IFERROR(D15/E15,"")</f>
        <v>15.392857142857142</v>
      </c>
      <c r="E16" s="48"/>
    </row>
    <row r="17" spans="1:5" ht="28.95" customHeight="1" x14ac:dyDescent="0.3">
      <c r="A17" s="123" t="s">
        <v>73</v>
      </c>
      <c r="B17" s="34">
        <f>IFERROR(IF(Semestre1!G11="","",Semestre1!G11*Semestre1!C11),"")</f>
        <v>74.166666666666671</v>
      </c>
      <c r="C17" s="35">
        <f>IF(Semestre1!G11="","",Semestre1!C11)</f>
        <v>5</v>
      </c>
      <c r="D17" s="35">
        <f>IFERROR(IF(Semestre2!G14="","",Semestre2!G14*Semestre2!C14),"")</f>
        <v>70</v>
      </c>
      <c r="E17" s="36">
        <f>IF(Semestre2!G14="","",Semestre2!C14)</f>
        <v>5</v>
      </c>
    </row>
    <row r="18" spans="1:5" x14ac:dyDescent="0.3">
      <c r="A18" s="124"/>
      <c r="B18" s="29">
        <f>IFERROR(IF(Semestre1!G12="","",Semestre1!G12*Semestre1!C12),"")</f>
        <v>327.5</v>
      </c>
      <c r="C18" s="27">
        <f>IF(Semestre1!G12="","",Semestre1!C12)</f>
        <v>20</v>
      </c>
      <c r="D18" s="27">
        <f>IFERROR(IF(Semestre2!G15="","",Semestre2!G15*Semestre2!C15),"")</f>
        <v>120</v>
      </c>
      <c r="E18" s="30">
        <f>IF(Semestre2!G15="","",Semestre2!C15)</f>
        <v>10</v>
      </c>
    </row>
    <row r="19" spans="1:5" x14ac:dyDescent="0.3">
      <c r="A19" s="124"/>
      <c r="B19" s="29">
        <f>IFERROR(IF(Semestre1!G13="","",Semestre1!G13*Semestre1!C13),"")</f>
        <v>195</v>
      </c>
      <c r="C19" s="27">
        <f>IF(Semestre1!G13="","",Semestre1!C13)</f>
        <v>15</v>
      </c>
      <c r="D19" s="27">
        <f>IFERROR(IF(Semestre2!G16="","",Semestre2!G16*Semestre2!C16),"")</f>
        <v>150</v>
      </c>
      <c r="E19" s="30">
        <f>IF(Semestre2!G16="","",Semestre2!C16)</f>
        <v>15</v>
      </c>
    </row>
    <row r="20" spans="1:5" x14ac:dyDescent="0.3">
      <c r="A20" s="124"/>
      <c r="B20" s="29">
        <f>IFERROR(IF(Semestre1!G14="","",Semestre1!G14*Semestre1!C14),"")</f>
        <v>296.66666666666669</v>
      </c>
      <c r="C20" s="27">
        <f>IF(Semestre1!G14="","",Semestre1!C14)</f>
        <v>20</v>
      </c>
      <c r="D20" s="27">
        <f>IFERROR(IF(Semestre2!G17="","",Semestre2!G17*Semestre2!C17),"")</f>
        <v>240</v>
      </c>
      <c r="E20" s="30">
        <f>IF(Semestre2!G17="","",Semestre2!C17)</f>
        <v>15</v>
      </c>
    </row>
    <row r="21" spans="1:5" ht="14.4" customHeight="1" x14ac:dyDescent="0.3">
      <c r="A21" s="124"/>
      <c r="B21" s="29">
        <f>IFERROR(IF(Semestre1!G15="","",Semestre1!G15*Semestre1!C15),"")</f>
        <v>500</v>
      </c>
      <c r="C21" s="27">
        <f>IF(Semestre1!G15="","",Semestre1!C15)</f>
        <v>40</v>
      </c>
      <c r="D21" s="27" t="str">
        <f>IFERROR(IF(Semestre2!G18="","",Semestre2!G18*Semestre2!C18),"")</f>
        <v/>
      </c>
      <c r="E21" s="30" t="str">
        <f>IF(Semestre2!G18="","",Semestre2!C18)</f>
        <v/>
      </c>
    </row>
    <row r="22" spans="1:5" x14ac:dyDescent="0.3">
      <c r="A22" s="124"/>
      <c r="B22" s="29"/>
      <c r="C22" s="27"/>
      <c r="D22" s="27" t="str">
        <f>IFERROR(IF(Semestre2!G19="","",Semestre2!G19*Semestre2!C19),"")</f>
        <v/>
      </c>
      <c r="E22" s="30" t="str">
        <f>IF(Semestre2!G19="","",Semestre2!C19)</f>
        <v/>
      </c>
    </row>
    <row r="23" spans="1:5" x14ac:dyDescent="0.3">
      <c r="A23" s="124"/>
      <c r="B23" s="29"/>
      <c r="C23" s="27"/>
      <c r="D23" s="27" t="str">
        <f>IFERROR(IF(Semestre2!G20="","",Semestre2!G20*Semestre2!C20),"")</f>
        <v/>
      </c>
      <c r="E23" s="30" t="str">
        <f>IF(Semestre2!G20="","",Semestre2!C20)</f>
        <v/>
      </c>
    </row>
    <row r="24" spans="1:5" x14ac:dyDescent="0.3">
      <c r="A24" s="124"/>
      <c r="B24" s="29"/>
      <c r="C24" s="27"/>
      <c r="D24" s="27">
        <f>IFERROR(IF(Semestre2!G21="","",Semestre2!G21*Semestre2!C21),"")</f>
        <v>135</v>
      </c>
      <c r="E24" s="30">
        <f>IF(Semestre2!G21="","",Semestre2!C21)</f>
        <v>10</v>
      </c>
    </row>
    <row r="25" spans="1:5" x14ac:dyDescent="0.3">
      <c r="A25" s="124"/>
      <c r="B25" s="29"/>
      <c r="C25" s="27"/>
      <c r="D25" s="27" t="str">
        <f>IFERROR(IF(Semestre2!G22="","",Semestre2!G22*Semestre2!C22),"")</f>
        <v/>
      </c>
      <c r="E25" s="30" t="str">
        <f>IF(Semestre2!G22="","",Semestre2!C22)</f>
        <v/>
      </c>
    </row>
    <row r="26" spans="1:5" x14ac:dyDescent="0.3">
      <c r="A26" s="124"/>
      <c r="B26" s="43"/>
      <c r="C26" s="28"/>
      <c r="D26" s="28" t="str">
        <f>IFERROR(IF(Semestre2!G23="","",Semestre2!G23*Semestre2!C23),"")</f>
        <v/>
      </c>
      <c r="E26" s="44" t="str">
        <f>IF(Semestre2!G23="","",Semestre2!C23)</f>
        <v/>
      </c>
    </row>
    <row r="27" spans="1:5" x14ac:dyDescent="0.3">
      <c r="A27" s="49" t="s">
        <v>71</v>
      </c>
      <c r="B27" s="34">
        <f>SUMIF(B17:B21,"&lt;&gt;0",B17:B21)</f>
        <v>1393.3333333333335</v>
      </c>
      <c r="C27" s="35">
        <f>SUMIF(C17:C21,"&lt;&gt;0",C17:C21)</f>
        <v>100</v>
      </c>
      <c r="D27" s="35">
        <f>SUMIF(D17:D26,"&lt;&gt;0",D17:D26)</f>
        <v>715</v>
      </c>
      <c r="E27" s="36">
        <f>SUMIF(E17:E26,"&lt;&gt;0",E17:E26)</f>
        <v>55</v>
      </c>
    </row>
    <row r="28" spans="1:5" ht="28.2" customHeight="1" x14ac:dyDescent="0.3">
      <c r="A28" s="45" t="s">
        <v>72</v>
      </c>
      <c r="B28" s="46">
        <f>IFERROR(B27/C27,"")</f>
        <v>13.933333333333335</v>
      </c>
      <c r="C28" s="47"/>
      <c r="D28" s="47">
        <f>IFERROR(D27/E27,"")</f>
        <v>13</v>
      </c>
      <c r="E28" s="48"/>
    </row>
    <row r="29" spans="1:5" ht="27.75" customHeight="1" x14ac:dyDescent="0.3">
      <c r="A29" s="123" t="s">
        <v>74</v>
      </c>
      <c r="B29" s="34">
        <f>IFERROR(IF(Semestre1!G18="","",Semestre1!G18*Semestre1!C18),"")</f>
        <v>74.166666666666671</v>
      </c>
      <c r="C29" s="35">
        <f>IF(Semestre1!G18="","",Semestre1!C18)</f>
        <v>5</v>
      </c>
      <c r="D29" s="35">
        <f>IFERROR(IF(Semestre2!G26="","",Semestre2!G26*Semestre2!C26),"")</f>
        <v>70</v>
      </c>
      <c r="E29" s="36">
        <f>IF(Semestre2!G26="","",Semestre2!C26)</f>
        <v>5</v>
      </c>
    </row>
    <row r="30" spans="1:5" x14ac:dyDescent="0.3">
      <c r="A30" s="124"/>
      <c r="B30" s="29">
        <f>IFERROR(IF(Semestre1!G19="","",Semestre1!G19*Semestre1!C19),"")</f>
        <v>170</v>
      </c>
      <c r="C30" s="27">
        <f>IF(Semestre1!G19="","",Semestre1!C19)</f>
        <v>15</v>
      </c>
      <c r="D30" s="27">
        <f>IFERROR(IF(Semestre2!G27="","",Semestre2!G27*Semestre2!C27),"")</f>
        <v>150</v>
      </c>
      <c r="E30" s="30">
        <f>IF(Semestre2!G27="","",Semestre2!C27)</f>
        <v>15</v>
      </c>
    </row>
    <row r="31" spans="1:5" x14ac:dyDescent="0.3">
      <c r="A31" s="124"/>
      <c r="B31" s="29">
        <f>IFERROR(IF(Semestre1!G20="","",Semestre1!G20*Semestre1!C20),"")</f>
        <v>196.2</v>
      </c>
      <c r="C31" s="27">
        <f>IF(Semestre1!G20="","",Semestre1!C20)</f>
        <v>15</v>
      </c>
      <c r="D31" s="27" t="str">
        <f>IFERROR(IF(Semestre2!G28="","",Semestre2!G28*Semestre2!C28),"")</f>
        <v/>
      </c>
      <c r="E31" s="30" t="str">
        <f>IF(Semestre2!G28="","",Semestre2!C28)</f>
        <v/>
      </c>
    </row>
    <row r="32" spans="1:5" x14ac:dyDescent="0.3">
      <c r="A32" s="124"/>
      <c r="B32" s="29">
        <f>IFERROR(IF(Semestre1!G21="","",Semestre1!G21*Semestre1!C21),"")</f>
        <v>466.66666666666669</v>
      </c>
      <c r="C32" s="27">
        <f>IF(Semestre1!G21="","",Semestre1!C21)</f>
        <v>25</v>
      </c>
      <c r="D32" s="27">
        <f>IFERROR(IF(Semestre2!G29="","",Semestre2!G29*Semestre2!C29),"")</f>
        <v>350</v>
      </c>
      <c r="E32" s="30">
        <f>IF(Semestre2!G29="","",Semestre2!C29)</f>
        <v>25</v>
      </c>
    </row>
    <row r="33" spans="1:5" x14ac:dyDescent="0.3">
      <c r="A33" s="124"/>
      <c r="B33" s="29">
        <f>IFERROR(IF(Semestre1!G22="","",Semestre1!G22*Semestre1!C22),"")</f>
        <v>262.5</v>
      </c>
      <c r="C33" s="27">
        <f>IF(Semestre1!G22="","",Semestre1!C22)</f>
        <v>15</v>
      </c>
      <c r="D33" s="27" t="str">
        <f>IFERROR(IF(Semestre2!G30="","",Semestre2!G30*Semestre2!C30),"")</f>
        <v/>
      </c>
      <c r="E33" s="30" t="str">
        <f>IF(Semestre2!G30="","",Semestre2!C30)</f>
        <v/>
      </c>
    </row>
    <row r="34" spans="1:5" x14ac:dyDescent="0.3">
      <c r="A34" s="124"/>
      <c r="B34" s="29">
        <f>IFERROR(IF(Semestre1!G23="","",Semestre1!G23*Semestre1!C23),"")</f>
        <v>121.64999961853027</v>
      </c>
      <c r="C34" s="27">
        <f>IF(Semestre1!G23="","",Semestre1!C23)</f>
        <v>10</v>
      </c>
      <c r="D34" s="27" t="str">
        <f>IFERROR(IF(Semestre2!G31="","",Semestre2!G31*Semestre2!C31),"")</f>
        <v/>
      </c>
      <c r="E34" s="30" t="str">
        <f>IF(Semestre2!G31="","",Semestre2!C31)</f>
        <v/>
      </c>
    </row>
    <row r="35" spans="1:5" x14ac:dyDescent="0.3">
      <c r="A35" s="124"/>
      <c r="B35" s="29">
        <f>IFERROR(IF(Semestre1!G24="","",Semestre1!G24*Semestre1!C24),"")</f>
        <v>217.5</v>
      </c>
      <c r="C35" s="27">
        <f>IF(Semestre1!G24="","",Semestre1!C24)</f>
        <v>15</v>
      </c>
      <c r="D35" s="27" t="str">
        <f>IFERROR(IF(Semestre2!G32="","",Semestre2!G32*Semestre2!C32),"")</f>
        <v/>
      </c>
      <c r="E35" s="30" t="str">
        <f>IF(Semestre2!G32="","",Semestre2!C32)</f>
        <v/>
      </c>
    </row>
    <row r="36" spans="1:5" x14ac:dyDescent="0.3">
      <c r="A36" s="125"/>
      <c r="B36" s="37"/>
      <c r="C36" s="38"/>
      <c r="D36" s="38" t="str">
        <f>IFERROR(IF(Semestre2!G33="","",Semestre2!G33*Semestre2!C33),"")</f>
        <v/>
      </c>
      <c r="E36" s="39" t="str">
        <f>IF(Semestre2!G33="","",Semestre2!C33)</f>
        <v/>
      </c>
    </row>
    <row r="37" spans="1:5" x14ac:dyDescent="0.3">
      <c r="A37" s="50" t="s">
        <v>71</v>
      </c>
      <c r="B37" s="40">
        <f>SUMIF(B29:B35,"&lt;&gt;0",B29:B35)</f>
        <v>1508.6833329518636</v>
      </c>
      <c r="C37" s="41">
        <f>SUMIF(C29:C35,"&lt;&gt;0",C29:C35)</f>
        <v>100</v>
      </c>
      <c r="D37" s="41">
        <f>SUMIF(D29:D36,"&lt;&gt;0",D29:D36)</f>
        <v>570</v>
      </c>
      <c r="E37" s="42">
        <f>SUMIF(E29:E36,"&lt;&gt;0",E29:E36)</f>
        <v>45</v>
      </c>
    </row>
    <row r="38" spans="1:5" x14ac:dyDescent="0.3">
      <c r="A38" s="3" t="s">
        <v>72</v>
      </c>
      <c r="B38" s="31">
        <f>IFERROR(B37/C37,"")</f>
        <v>15.086833329518635</v>
      </c>
      <c r="C38" s="32"/>
      <c r="D38" s="32">
        <f>IFERROR(D37/E37,"")</f>
        <v>12.666666666666666</v>
      </c>
      <c r="E38" s="33"/>
    </row>
  </sheetData>
  <mergeCells count="5">
    <mergeCell ref="B5:C5"/>
    <mergeCell ref="D5:E5"/>
    <mergeCell ref="A6:A14"/>
    <mergeCell ref="A29:A36"/>
    <mergeCell ref="A17:A26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08b6f9b-72fc-418f-b34f-ef2ddfe9b528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B5325FE7EB094C828944A1F86ED647" ma:contentTypeVersion="15" ma:contentTypeDescription="Crée un document." ma:contentTypeScope="" ma:versionID="3d78ab2287464240afc7073ef0ca7bd5">
  <xsd:schema xmlns:xsd="http://www.w3.org/2001/XMLSchema" xmlns:xs="http://www.w3.org/2001/XMLSchema" xmlns:p="http://schemas.microsoft.com/office/2006/metadata/properties" xmlns:ns3="808b6f9b-72fc-418f-b34f-ef2ddfe9b528" xmlns:ns4="7b283fb7-a18d-44aa-ad83-ef888b01f60b" targetNamespace="http://schemas.microsoft.com/office/2006/metadata/properties" ma:root="true" ma:fieldsID="91f21a0c3a2f60cbac69085380122578" ns3:_="" ns4:_="">
    <xsd:import namespace="808b6f9b-72fc-418f-b34f-ef2ddfe9b528"/>
    <xsd:import namespace="7b283fb7-a18d-44aa-ad83-ef888b01f60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GenerationTime" minOccurs="0"/>
                <xsd:element ref="ns3:MediaServiceEventHashCode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08b6f9b-72fc-418f-b34f-ef2ddfe9b52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Tags" ma:index="17" nillable="true" ma:displayName="Tags" ma:internalName="MediaServiceAutoTags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b283fb7-a18d-44aa-ad83-ef888b01f60b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292D1B4-9311-4722-BD00-42DB1FE90F4A}">
  <ds:schemaRefs>
    <ds:schemaRef ds:uri="http://schemas.microsoft.com/office/2006/metadata/properties"/>
    <ds:schemaRef ds:uri="http://schemas.microsoft.com/office/infopath/2007/PartnerControls"/>
    <ds:schemaRef ds:uri="808b6f9b-72fc-418f-b34f-ef2ddfe9b528"/>
  </ds:schemaRefs>
</ds:datastoreItem>
</file>

<file path=customXml/itemProps2.xml><?xml version="1.0" encoding="utf-8"?>
<ds:datastoreItem xmlns:ds="http://schemas.openxmlformats.org/officeDocument/2006/customXml" ds:itemID="{DE2187C4-28B1-4AEC-8AC9-837A6327E9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08b6f9b-72fc-418f-b34f-ef2ddfe9b528"/>
    <ds:schemaRef ds:uri="7b283fb7-a18d-44aa-ad83-ef888b01f6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7CF6B8D-9DF7-47ED-A318-EE76020304B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Accueil</vt:lpstr>
      <vt:lpstr>Semestre1</vt:lpstr>
      <vt:lpstr>Semestre2</vt:lpstr>
      <vt:lpstr>PanPan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Xavier Barbeau</dc:creator>
  <cp:keywords/>
  <dc:description/>
  <cp:lastModifiedBy>Chloé Decoust</cp:lastModifiedBy>
  <cp:revision/>
  <dcterms:created xsi:type="dcterms:W3CDTF">2023-12-18T08:55:08Z</dcterms:created>
  <dcterms:modified xsi:type="dcterms:W3CDTF">2024-05-21T11:11:16Z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0x010100D7B5325FE7EB094C828944A1F86ED647</vt:lpwstr>
  </property>
</Properties>
</file>