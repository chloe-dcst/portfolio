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drawings/drawing2.xml" ContentType="application/vnd.openxmlformats-officedocument.drawing+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charts/chart1.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https://etuunivpoitiersfr-my.sharepoint.com/personal/chloe_decoust_etu_univ-poitiers_fr/Documents/Bureau/BUT 2/S3/VCOD/VBA/projet/SAE VCOD  Projet VBA Valentin Dujour et Chloé Decoust/"/>
    </mc:Choice>
  </mc:AlternateContent>
  <xr:revisionPtr revIDLastSave="37717" documentId="13_ncr:1_{08BE6D11-E396-4E65-8830-24174B11E01B}" xr6:coauthVersionLast="47" xr6:coauthVersionMax="47" xr10:uidLastSave="{51302FD1-0D04-4D73-BD6D-91DAF46D1C2A}"/>
  <bookViews>
    <workbookView xWindow="-108" yWindow="-108" windowWidth="23256" windowHeight="13896" firstSheet="3" activeTab="7" xr2:uid="{050EDA84-B64B-42D7-AF75-8F8BF138ED07}"/>
  </bookViews>
  <sheets>
    <sheet name="ACCUEIL" sheetId="1" r:id="rId1"/>
    <sheet name="TableauBord" sheetId="7" r:id="rId2"/>
    <sheet name="Cartographie" sheetId="9" r:id="rId3"/>
    <sheet name="RésultatsGardiens" sheetId="3" r:id="rId4"/>
    <sheet name="RésultatsJoueurs07-08" sheetId="4" r:id="rId5"/>
    <sheet name="RésultatsJoueurs09-10" sheetId="2" r:id="rId6"/>
    <sheet name="ClassementFinal" sheetId="6" r:id="rId7"/>
    <sheet name="CHAMOIS" sheetId="14" r:id="rId8"/>
  </sheets>
  <functionGroups builtInGroupCount="19"/>
  <definedNames>
    <definedName name="_xlchart.v6.0" hidden="1">Cartographie!$B$12:$D$12</definedName>
    <definedName name="_xlchart.v6.1" hidden="1">Cartographie!$B$13:$D$23</definedName>
    <definedName name="_xlchart.v6.2" hidden="1">Cartographie!$E$12</definedName>
    <definedName name="_xlchart.v6.3" hidden="1">Cartographie!$E$13:$E$23</definedName>
    <definedName name="_xleta.AVERAGE" hidden="1" xlm="1">#NAME?</definedName>
    <definedName name="Segment_Provinces">#N/A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9" i="3" l="1"/>
  <c r="G8" i="3"/>
  <c r="N36" i="7"/>
  <c r="N35" i="7"/>
  <c r="N34" i="7"/>
  <c r="N33" i="7"/>
  <c r="N32" i="7"/>
  <c r="N31" i="7"/>
  <c r="N29" i="7"/>
  <c r="N27" i="7"/>
  <c r="N28" i="7"/>
  <c r="N25" i="7"/>
  <c r="N24" i="7"/>
  <c r="N23" i="7"/>
  <c r="N19" i="7"/>
  <c r="N18" i="7"/>
  <c r="N17" i="7"/>
  <c r="N16" i="7"/>
  <c r="F33" i="7"/>
  <c r="F34" i="7"/>
  <c r="F35" i="7"/>
  <c r="F36" i="7"/>
  <c r="F32" i="7"/>
  <c r="F27" i="7"/>
  <c r="F28" i="7"/>
  <c r="F29" i="7"/>
  <c r="F26" i="7"/>
  <c r="F23" i="7"/>
  <c r="F22" i="7"/>
  <c r="F19" i="7"/>
  <c r="F18" i="7"/>
  <c r="F15" i="7"/>
  <c r="H45" i="2"/>
  <c r="H21" i="2"/>
  <c r="H15" i="2"/>
  <c r="H10" i="2"/>
  <c r="H11" i="2"/>
  <c r="H16" i="2"/>
  <c r="H18" i="2"/>
  <c r="H22" i="2"/>
  <c r="H23" i="2"/>
  <c r="H26" i="2"/>
  <c r="H29" i="2"/>
  <c r="H34" i="2"/>
  <c r="H35" i="2"/>
  <c r="H40" i="2"/>
  <c r="H41" i="2"/>
  <c r="H44" i="2"/>
  <c r="H46" i="2"/>
  <c r="H8" i="2"/>
  <c r="H43" i="2"/>
  <c r="H49" i="2"/>
  <c r="H12" i="2"/>
  <c r="H20" i="2"/>
  <c r="H33" i="2"/>
  <c r="H24" i="2"/>
  <c r="H36" i="2"/>
  <c r="H37" i="2"/>
  <c r="H28" i="2"/>
  <c r="H19" i="2"/>
  <c r="H13" i="2"/>
  <c r="H9" i="2"/>
  <c r="H38" i="2"/>
  <c r="H48" i="2"/>
  <c r="H32" i="2"/>
  <c r="H31" i="2"/>
  <c r="H30" i="2"/>
  <c r="H42" i="2"/>
  <c r="H25" i="2"/>
  <c r="H50" i="2"/>
  <c r="H39" i="2"/>
  <c r="H17" i="2"/>
  <c r="H14" i="2"/>
  <c r="N25" i="2" a="1"/>
  <c r="P17" i="2" a="1"/>
  <c r="P20" i="2" a="1"/>
  <c r="K11" i="4" a="1"/>
  <c r="P10" i="2" a="1"/>
  <c r="P49" i="2" a="1"/>
  <c r="P24" i="2" a="1"/>
  <c r="P32" i="2" a="1"/>
  <c r="K13" i="2" a="1"/>
  <c r="N20" i="2" a="1"/>
  <c r="M11" i="3" a="1"/>
  <c r="P50" i="2" a="1"/>
  <c r="K21" i="2" a="1"/>
  <c r="N21" i="2" a="1"/>
  <c r="K23" i="2" a="1"/>
  <c r="N15" i="2" a="1"/>
  <c r="M9" i="3" a="1"/>
  <c r="K11" i="2" a="1"/>
  <c r="J14" i="3" a="1"/>
  <c r="P25" i="2" a="1"/>
  <c r="P40" i="2" a="1"/>
  <c r="K27" i="2" a="1"/>
  <c r="N29" i="2" a="1"/>
  <c r="P31" i="2" a="1"/>
  <c r="K45" i="2" a="1"/>
  <c r="N9" i="2" a="1"/>
  <c r="N11" i="4" a="1"/>
  <c r="P9" i="4" a="1"/>
  <c r="K9" i="2" a="1"/>
  <c r="K14" i="2" a="1"/>
  <c r="N47" i="2" a="1"/>
  <c r="N34" i="2" a="1"/>
  <c r="N22" i="2" a="1"/>
  <c r="M12" i="3" a="1"/>
  <c r="K35" i="2" a="1"/>
  <c r="K44" i="2" a="1"/>
  <c r="J11" i="3" a="1"/>
  <c r="P42" i="2" a="1"/>
  <c r="P47" i="2" a="1"/>
  <c r="N9" i="4" a="1"/>
  <c r="K46" i="2" a="1"/>
  <c r="N39" i="2" a="1"/>
  <c r="P30" i="2" a="1"/>
  <c r="P36" i="2" a="1"/>
  <c r="K43" i="2" a="1"/>
  <c r="N14" i="2" a="1"/>
  <c r="J10" i="3" a="1"/>
  <c r="N37" i="2" a="1"/>
  <c r="P46" i="2" a="1"/>
  <c r="N12" i="2" a="1"/>
  <c r="J15" i="3" a="1"/>
  <c r="K48" i="2" a="1"/>
  <c r="P48" i="2" a="1"/>
  <c r="J9" i="3" a="1"/>
  <c r="K18" i="2" a="1"/>
  <c r="N17" i="2" a="1"/>
  <c r="P21" i="2" a="1"/>
  <c r="P18" i="2" a="1"/>
  <c r="M10" i="3" a="1"/>
  <c r="P8" i="2" a="1"/>
  <c r="M13" i="3" a="1"/>
  <c r="P26" i="2" a="1"/>
  <c r="N27" i="2" a="1"/>
  <c r="N10" i="2" a="1"/>
  <c r="J13" i="3" a="1"/>
  <c r="K19" i="2" a="1"/>
  <c r="N33" i="2" a="1"/>
  <c r="M8" i="3" a="1"/>
  <c r="J8" i="3" a="1"/>
  <c r="N35" i="2" a="1"/>
  <c r="M15" i="3" a="1"/>
  <c r="P43" i="2" a="1"/>
  <c r="P34" i="2" a="1"/>
  <c r="N43" i="2" a="1"/>
  <c r="N8" i="4" a="1"/>
  <c r="N40" i="2" a="1"/>
  <c r="P22" i="2" a="1"/>
  <c r="N36" i="2" a="1"/>
  <c r="P11" i="4" a="1"/>
  <c r="K28" i="2" a="1"/>
  <c r="K33" i="2" a="1"/>
  <c r="P15" i="2" a="1"/>
  <c r="K32" i="2" a="1"/>
  <c r="P41" i="2" a="1"/>
  <c r="P33" i="2" a="1"/>
  <c r="K42" i="2" a="1"/>
  <c r="K29" i="2" a="1"/>
  <c r="P35" i="2" a="1"/>
  <c r="N8" i="2" a="1"/>
  <c r="P19" i="2" a="1"/>
  <c r="K9" i="4" a="1"/>
  <c r="N18" i="2" a="1"/>
  <c r="N28" i="2" a="1"/>
  <c r="N41" i="2" a="1"/>
  <c r="K17" i="2" a="1"/>
  <c r="N38" i="2" a="1"/>
  <c r="K38" i="2" a="1"/>
  <c r="N19" i="2" a="1"/>
  <c r="M14" i="3" a="1"/>
  <c r="N50" i="2" a="1"/>
  <c r="N31" i="2" a="1"/>
  <c r="K22" i="2" a="1"/>
  <c r="P39" i="2" a="1"/>
  <c r="K26" i="2" a="1"/>
  <c r="K49" i="2" a="1"/>
  <c r="K15" i="2" a="1"/>
  <c r="N26" i="2" a="1"/>
  <c r="P28" i="2" a="1"/>
  <c r="N49" i="2" a="1"/>
  <c r="P12" i="2" a="1"/>
  <c r="K40" i="2" a="1"/>
  <c r="N32" i="2" a="1"/>
  <c r="J12" i="3" a="1"/>
  <c r="M16" i="3" a="1"/>
  <c r="P9" i="2" a="1"/>
  <c r="K8" i="4" a="1"/>
  <c r="K31" i="2" a="1"/>
  <c r="P8" i="4" a="1"/>
  <c r="N13" i="2" a="1"/>
  <c r="P23" i="2" a="1"/>
  <c r="K30" i="2" a="1"/>
  <c r="K8" i="2" a="1"/>
  <c r="N24" i="2" a="1"/>
  <c r="K39" i="2" a="1"/>
  <c r="J16" i="3" a="1"/>
  <c r="K12" i="2" a="1"/>
  <c r="P16" i="2" a="1"/>
  <c r="K50" i="2" a="1"/>
  <c r="K16" i="2" a="1"/>
  <c r="P27" i="2" a="1"/>
  <c r="P14" i="2" a="1"/>
  <c r="N11" i="2" a="1"/>
  <c r="K34" i="2" a="1"/>
  <c r="P45" i="2" a="1"/>
  <c r="N46" i="2" a="1"/>
  <c r="K10" i="4" a="1"/>
  <c r="N48" i="2" a="1"/>
  <c r="N45" i="2" a="1"/>
  <c r="P11" i="2" a="1"/>
  <c r="K24" i="2" a="1"/>
  <c r="P13" i="2" a="1"/>
  <c r="N23" i="2" a="1"/>
  <c r="K10" i="2" a="1"/>
  <c r="P37" i="2" a="1"/>
  <c r="K25" i="2" a="1"/>
  <c r="N44" i="2" a="1"/>
  <c r="K36" i="2" a="1"/>
  <c r="N10" i="4" a="1"/>
  <c r="N30" i="2" a="1"/>
  <c r="N16" i="2" a="1"/>
  <c r="K41" i="2" a="1"/>
  <c r="K47" i="2" a="1"/>
  <c r="K20" i="2" a="1"/>
  <c r="P44" i="2" a="1"/>
  <c r="P38" i="2" a="1"/>
  <c r="K37" i="2" a="1"/>
  <c r="N42" i="2" a="1"/>
  <c r="P29" i="2" a="1"/>
  <c r="P10" i="4" a="1"/>
  <c r="K11" i="2" l="1"/>
  <c r="M16" i="3"/>
  <c r="K27" i="2"/>
  <c r="P11" i="4"/>
  <c r="K19" i="2"/>
  <c r="M14" i="3"/>
  <c r="P10" i="4"/>
  <c r="K34" i="2"/>
  <c r="M10" i="3"/>
  <c r="P9" i="4"/>
  <c r="K30" i="2"/>
  <c r="K50" i="2"/>
  <c r="K42" i="2"/>
  <c r="M11" i="3"/>
  <c r="K38" i="2"/>
  <c r="M12" i="3"/>
  <c r="K8" i="2"/>
  <c r="K26" i="2"/>
  <c r="K49" i="2"/>
  <c r="K45" i="2"/>
  <c r="K46" i="2"/>
  <c r="M13" i="3"/>
  <c r="K40" i="2"/>
  <c r="K18" i="2"/>
  <c r="K41" i="2"/>
  <c r="K25" i="2"/>
  <c r="P8" i="4"/>
  <c r="K21" i="2"/>
  <c r="N9" i="4"/>
  <c r="K48" i="2"/>
  <c r="J16" i="3"/>
  <c r="K14" i="2"/>
  <c r="K8" i="4"/>
  <c r="K33" i="2"/>
  <c r="K11" i="4"/>
  <c r="J10" i="3"/>
  <c r="K31" i="2"/>
  <c r="K35" i="2"/>
  <c r="M15" i="3"/>
  <c r="J8" i="3"/>
  <c r="K32" i="2"/>
  <c r="J11" i="3"/>
  <c r="K10" i="2"/>
  <c r="K12" i="2"/>
  <c r="K10" i="4"/>
  <c r="K36" i="2"/>
  <c r="J12" i="3"/>
  <c r="K39" i="2"/>
  <c r="J15" i="3"/>
  <c r="K17" i="2"/>
  <c r="J13" i="3"/>
  <c r="N11" i="4"/>
  <c r="K23" i="2"/>
  <c r="K16" i="2"/>
  <c r="K13" i="2"/>
  <c r="M8" i="3"/>
  <c r="K22" i="2"/>
  <c r="M9" i="3"/>
  <c r="K37" i="2"/>
  <c r="K20" i="2"/>
  <c r="J14" i="3"/>
  <c r="K44" i="2"/>
  <c r="K29" i="2"/>
  <c r="K47" i="2"/>
  <c r="K9" i="4"/>
  <c r="K28" i="2"/>
  <c r="N8" i="4"/>
  <c r="K24" i="2"/>
  <c r="J9" i="3"/>
  <c r="N10" i="4"/>
  <c r="K15" i="2"/>
  <c r="K43" i="2"/>
  <c r="K9" i="2"/>
  <c r="H27" i="2"/>
  <c r="P14" i="2"/>
  <c r="P44" i="2"/>
  <c r="P28" i="2"/>
  <c r="P49" i="2"/>
  <c r="P16" i="2"/>
  <c r="P34" i="2"/>
  <c r="P35" i="2"/>
  <c r="P21" i="2"/>
  <c r="P41" i="2"/>
  <c r="P33" i="2"/>
  <c r="P43" i="2"/>
  <c r="P17" i="2"/>
  <c r="P25" i="2"/>
  <c r="P48" i="2"/>
  <c r="P9" i="2"/>
  <c r="P11" i="2"/>
  <c r="P22" i="2"/>
  <c r="P20" i="2"/>
  <c r="P15" i="2"/>
  <c r="P24" i="2"/>
  <c r="P39" i="2"/>
  <c r="P42" i="2"/>
  <c r="P38" i="2"/>
  <c r="P13" i="2"/>
  <c r="P46" i="2"/>
  <c r="P37" i="2"/>
  <c r="P12" i="2"/>
  <c r="P32" i="2"/>
  <c r="P10" i="2"/>
  <c r="P47" i="2"/>
  <c r="P30" i="2"/>
  <c r="P29" i="2"/>
  <c r="P26" i="2"/>
  <c r="P27" i="2"/>
  <c r="P18" i="2"/>
  <c r="P40" i="2"/>
  <c r="P50" i="2"/>
  <c r="P31" i="2"/>
  <c r="P45" i="2"/>
  <c r="P19" i="2"/>
  <c r="P23" i="2"/>
  <c r="P36" i="2"/>
  <c r="P8" i="2"/>
  <c r="N15" i="2"/>
  <c r="N24" i="2"/>
  <c r="N49" i="2"/>
  <c r="N16" i="2"/>
  <c r="N34" i="2"/>
  <c r="N35" i="2"/>
  <c r="N21" i="2"/>
  <c r="N41" i="2"/>
  <c r="N33" i="2"/>
  <c r="N43" i="2"/>
  <c r="N17" i="2"/>
  <c r="N25" i="2"/>
  <c r="N48" i="2"/>
  <c r="N9" i="2"/>
  <c r="N11" i="2"/>
  <c r="N22" i="2"/>
  <c r="N20" i="2"/>
  <c r="N44" i="2"/>
  <c r="N28" i="2"/>
  <c r="N39" i="2"/>
  <c r="N42" i="2"/>
  <c r="N38" i="2"/>
  <c r="N13" i="2"/>
  <c r="N46" i="2"/>
  <c r="N37" i="2"/>
  <c r="N12" i="2"/>
  <c r="N32" i="2"/>
  <c r="N10" i="2"/>
  <c r="N47" i="2"/>
  <c r="N30" i="2"/>
  <c r="N29" i="2"/>
  <c r="N26" i="2"/>
  <c r="N27" i="2"/>
  <c r="N18" i="2"/>
  <c r="N40" i="2"/>
  <c r="N50" i="2"/>
  <c r="N31" i="2"/>
  <c r="N45" i="2"/>
  <c r="N19" i="2"/>
  <c r="N23" i="2"/>
  <c r="N36" i="2"/>
  <c r="N8" i="2"/>
  <c r="N14" i="2"/>
  <c r="H8" i="4"/>
  <c r="H10" i="4"/>
  <c r="H11" i="4"/>
  <c r="H9" i="4"/>
  <c r="G12" i="3"/>
  <c r="G15" i="3"/>
  <c r="G14" i="3"/>
  <c r="G13" i="3"/>
  <c r="G16" i="3"/>
  <c r="G11" i="3"/>
  <c r="G10" i="3"/>
  <c r="E3" i="6"/>
  <c r="E3" i="4"/>
  <c r="E3" i="3"/>
  <c r="E3" i="2"/>
  <c r="P8" i="3" l="1"/>
  <c r="S49" i="2"/>
  <c r="S50" i="2"/>
  <c r="S26" i="2"/>
  <c r="S9" i="2"/>
  <c r="S46" i="2"/>
  <c r="S45" i="2"/>
  <c r="S38" i="2"/>
  <c r="S32" i="2"/>
  <c r="S29" i="2"/>
  <c r="S28" i="2"/>
  <c r="S19" i="2"/>
  <c r="S11" i="2"/>
  <c r="S20" i="2"/>
  <c r="H47" i="2"/>
  <c r="S47" i="2" s="1"/>
  <c r="S8" i="2"/>
  <c r="S44" i="2"/>
  <c r="S35" i="2"/>
  <c r="S43" i="2"/>
  <c r="S18" i="2"/>
  <c r="S27" i="2"/>
  <c r="S41" i="2"/>
  <c r="S12" i="2"/>
  <c r="S22" i="2"/>
  <c r="S30" i="2"/>
  <c r="S34" i="2"/>
  <c r="S15" i="2"/>
  <c r="S25" i="2"/>
  <c r="S13" i="2"/>
  <c r="S48" i="2"/>
  <c r="S17" i="2"/>
  <c r="S31" i="2"/>
  <c r="S10" i="2"/>
  <c r="S16" i="2"/>
  <c r="S40" i="2"/>
  <c r="S42" i="2"/>
  <c r="S14" i="2"/>
  <c r="S23" i="2"/>
  <c r="S36" i="2"/>
  <c r="S39" i="2"/>
  <c r="S24" i="2"/>
  <c r="S21" i="2"/>
  <c r="S37" i="2"/>
  <c r="S33" i="2"/>
  <c r="S9" i="4"/>
  <c r="P15" i="3"/>
  <c r="P13" i="3"/>
  <c r="P14" i="3"/>
  <c r="P9" i="3"/>
  <c r="P12" i="3"/>
  <c r="S8" i="4" l="1"/>
  <c r="S10" i="4"/>
  <c r="S11" i="4"/>
  <c r="P11" i="3"/>
  <c r="P10" i="3"/>
  <c r="P16"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1">
    <bk>
      <extLst>
        <ext uri="{3e2802c4-a4d2-4d8b-9148-e3be6c30e623}">
          <xlrd:rvb i="0"/>
        </ext>
      </extLst>
    </bk>
    <bk>
      <extLst>
        <ext uri="{3e2802c4-a4d2-4d8b-9148-e3be6c30e623}">
          <xlrd:rvb i="9"/>
        </ext>
      </extLst>
    </bk>
    <bk>
      <extLst>
        <ext uri="{3e2802c4-a4d2-4d8b-9148-e3be6c30e623}">
          <xlrd:rvb i="16"/>
        </ext>
      </extLst>
    </bk>
    <bk>
      <extLst>
        <ext uri="{3e2802c4-a4d2-4d8b-9148-e3be6c30e623}">
          <xlrd:rvb i="23"/>
        </ext>
      </extLst>
    </bk>
    <bk>
      <extLst>
        <ext uri="{3e2802c4-a4d2-4d8b-9148-e3be6c30e623}">
          <xlrd:rvb i="30"/>
        </ext>
      </extLst>
    </bk>
    <bk>
      <extLst>
        <ext uri="{3e2802c4-a4d2-4d8b-9148-e3be6c30e623}">
          <xlrd:rvb i="37"/>
        </ext>
      </extLst>
    </bk>
    <bk>
      <extLst>
        <ext uri="{3e2802c4-a4d2-4d8b-9148-e3be6c30e623}">
          <xlrd:rvb i="44"/>
        </ext>
      </extLst>
    </bk>
    <bk>
      <extLst>
        <ext uri="{3e2802c4-a4d2-4d8b-9148-e3be6c30e623}">
          <xlrd:rvb i="51"/>
        </ext>
      </extLst>
    </bk>
    <bk>
      <extLst>
        <ext uri="{3e2802c4-a4d2-4d8b-9148-e3be6c30e623}">
          <xlrd:rvb i="58"/>
        </ext>
      </extLst>
    </bk>
    <bk>
      <extLst>
        <ext uri="{3e2802c4-a4d2-4d8b-9148-e3be6c30e623}">
          <xlrd:rvb i="65"/>
        </ext>
      </extLst>
    </bk>
    <bk>
      <extLst>
        <ext uri="{3e2802c4-a4d2-4d8b-9148-e3be6c30e623}">
          <xlrd:rvb i="72"/>
        </ext>
      </extLst>
    </bk>
  </futureMetadata>
  <cellMetadata count="1">
    <bk>
      <rc t="1" v="0"/>
    </bk>
  </cellMetadata>
  <valueMetadata count="11">
    <bk>
      <rc t="2" v="0"/>
    </bk>
    <bk>
      <rc t="2" v="1"/>
    </bk>
    <bk>
      <rc t="2" v="2"/>
    </bk>
    <bk>
      <rc t="2" v="3"/>
    </bk>
    <bk>
      <rc t="2" v="4"/>
    </bk>
    <bk>
      <rc t="2" v="5"/>
    </bk>
    <bk>
      <rc t="2" v="6"/>
    </bk>
    <bk>
      <rc t="2" v="7"/>
    </bk>
    <bk>
      <rc t="2" v="8"/>
    </bk>
    <bk>
      <rc t="2" v="9"/>
    </bk>
    <bk>
      <rc t="2" v="10"/>
    </bk>
  </valueMetadata>
</metadata>
</file>

<file path=xl/sharedStrings.xml><?xml version="1.0" encoding="utf-8"?>
<sst xmlns="http://schemas.openxmlformats.org/spreadsheetml/2006/main" count="543" uniqueCount="218">
  <si>
    <t>Date du jour :</t>
  </si>
  <si>
    <t>RÉSULTATS GARDIENS</t>
  </si>
  <si>
    <t>CLUB</t>
  </si>
  <si>
    <t>Année</t>
  </si>
  <si>
    <t>Poste</t>
  </si>
  <si>
    <t>PG</t>
  </si>
  <si>
    <t>PD</t>
  </si>
  <si>
    <t>Jonglerie</t>
  </si>
  <si>
    <t>Note</t>
  </si>
  <si>
    <t>10 mètres</t>
  </si>
  <si>
    <t>Essai 1</t>
  </si>
  <si>
    <t>Essai 2</t>
  </si>
  <si>
    <t>40 mètres</t>
  </si>
  <si>
    <t>VITESSE</t>
  </si>
  <si>
    <t>Test Spec</t>
  </si>
  <si>
    <t>Jeu à 11</t>
  </si>
  <si>
    <t>Général</t>
  </si>
  <si>
    <t>T</t>
  </si>
  <si>
    <t>Nom Prénom</t>
  </si>
  <si>
    <t>Endurance</t>
  </si>
  <si>
    <t>Distance</t>
  </si>
  <si>
    <t>Jeux</t>
  </si>
  <si>
    <t>RÉSULTATS JOUEURS 2007-2008</t>
  </si>
  <si>
    <t>RÉSULTATS JOUEURS 2009-2010</t>
  </si>
  <si>
    <t>Classement</t>
  </si>
  <si>
    <t>Points</t>
  </si>
  <si>
    <t>Joueurs 2007-2008</t>
  </si>
  <si>
    <t>Joueurs 2009-2010</t>
  </si>
  <si>
    <t>Gardiens</t>
  </si>
  <si>
    <t>BLANCHE QUENTIN</t>
  </si>
  <si>
    <t>HERVOUET LOUIS</t>
  </si>
  <si>
    <t>JUIN CLEMENT</t>
  </si>
  <si>
    <t>POGGI ANTOINE</t>
  </si>
  <si>
    <t>ROQUIER PAUL</t>
  </si>
  <si>
    <t>SIMON JONATHAN</t>
  </si>
  <si>
    <t>TESSIER SIMON</t>
  </si>
  <si>
    <t>TURGNE NICOLAS</t>
  </si>
  <si>
    <t>VAL D'ENVIGNE</t>
  </si>
  <si>
    <t>GARDIEN</t>
  </si>
  <si>
    <t>COGNAC UAC</t>
  </si>
  <si>
    <t>LA BAULE/ LE P.</t>
  </si>
  <si>
    <t>ST LIGUAIRE NIORT</t>
  </si>
  <si>
    <t>AVAILLES EN CH.</t>
  </si>
  <si>
    <t>CHAMOIS</t>
  </si>
  <si>
    <t>AZAY CHEILLE  37</t>
  </si>
  <si>
    <t>AIFFRES</t>
  </si>
  <si>
    <t>U.A COGNAC</t>
  </si>
  <si>
    <t>9 ou 11</t>
  </si>
  <si>
    <t>BANLIER PIERRE</t>
  </si>
  <si>
    <t>Milieu/Att</t>
  </si>
  <si>
    <t>BARBEAU BENJAMIN</t>
  </si>
  <si>
    <t>USRV</t>
  </si>
  <si>
    <t>Lib. 5</t>
  </si>
  <si>
    <t>BATISSE ANTOINE</t>
  </si>
  <si>
    <t>LALEU LA ROCHELLE</t>
  </si>
  <si>
    <t>Milieu D</t>
  </si>
  <si>
    <t>BIZEAU THOMAS</t>
  </si>
  <si>
    <t>ES SAINTES</t>
  </si>
  <si>
    <t>Att/Milieu</t>
  </si>
  <si>
    <t>BOLLEY PAUL</t>
  </si>
  <si>
    <t>ST SEBASTIEN/L</t>
  </si>
  <si>
    <t>BONNIN VICTOR</t>
  </si>
  <si>
    <t>BRESSUIRE</t>
  </si>
  <si>
    <t>Milieu G</t>
  </si>
  <si>
    <t>BOUDAUD QUENTIN</t>
  </si>
  <si>
    <t>SO CHATELLERAULT</t>
  </si>
  <si>
    <t>Milieu O</t>
  </si>
  <si>
    <t>BOUTIN CLEMENT</t>
  </si>
  <si>
    <t>Avant</t>
  </si>
  <si>
    <t>ROYAN</t>
  </si>
  <si>
    <t>D. C 5</t>
  </si>
  <si>
    <t>AR. CENT</t>
  </si>
  <si>
    <t>CLOCHARD Julien</t>
  </si>
  <si>
    <t>LALEU</t>
  </si>
  <si>
    <t>8 ou 6</t>
  </si>
  <si>
    <t>OLERON F.C.</t>
  </si>
  <si>
    <t>Défenseur</t>
  </si>
  <si>
    <t>DAUBIN QUENTIN</t>
  </si>
  <si>
    <t>STADE NAZAIRIEN</t>
  </si>
  <si>
    <t>Miieu D</t>
  </si>
  <si>
    <t>DESNOYER MAXIME</t>
  </si>
  <si>
    <t>ATT 9 ou 7</t>
  </si>
  <si>
    <t>DESSENEUX LUCAS</t>
  </si>
  <si>
    <t>LatG/M G</t>
  </si>
  <si>
    <t>DOS REIS CORENTIN</t>
  </si>
  <si>
    <t>THOUARS</t>
  </si>
  <si>
    <t>M.  G ou Dt</t>
  </si>
  <si>
    <t>DUPONT MATTHIEU</t>
  </si>
  <si>
    <t>PERIGNY</t>
  </si>
  <si>
    <t>GUACIDE GUILLAUME</t>
  </si>
  <si>
    <t>SU AGEN</t>
  </si>
  <si>
    <t>ATTAQUANT</t>
  </si>
  <si>
    <t>KIM JUN-HO</t>
  </si>
  <si>
    <t>POITIERS ST ELOI</t>
  </si>
  <si>
    <t>ATTAQ.</t>
  </si>
  <si>
    <t>JOVER JULIEN</t>
  </si>
  <si>
    <t>COGNAC</t>
  </si>
  <si>
    <t>8,6,3</t>
  </si>
  <si>
    <t>LARAT THIBAULT</t>
  </si>
  <si>
    <t>UESM MONTMORILLON</t>
  </si>
  <si>
    <t>6 ou  10</t>
  </si>
  <si>
    <t>LAVAUD CORENTIN</t>
  </si>
  <si>
    <t>MONTMORILLON</t>
  </si>
  <si>
    <t>AD OU MD</t>
  </si>
  <si>
    <t>LUCAS QUENTIN</t>
  </si>
  <si>
    <t>OREE DE L'AUTIZE</t>
  </si>
  <si>
    <t>M. Off</t>
  </si>
  <si>
    <t>MAROLLEAU ALEXANDRE</t>
  </si>
  <si>
    <t>ES SAINTES FOOT</t>
  </si>
  <si>
    <t>M L  DT O</t>
  </si>
  <si>
    <t>MECHAIN VICTOR</t>
  </si>
  <si>
    <t xml:space="preserve">DH GIEN </t>
  </si>
  <si>
    <t>Ailier/MG</t>
  </si>
  <si>
    <t>MICHAUD DAMIEN</t>
  </si>
  <si>
    <t>U.S. AULNAY</t>
  </si>
  <si>
    <t>MILIEU</t>
  </si>
  <si>
    <t>MICHEL THIBAULT</t>
  </si>
  <si>
    <t>Attaquant</t>
  </si>
  <si>
    <t>MONTILLAUD QUENTIN</t>
  </si>
  <si>
    <t>BOURG/GIRONDE</t>
  </si>
  <si>
    <t>NASSIRI SYLVAIN</t>
  </si>
  <si>
    <t>NIORT ST FLORENT</t>
  </si>
  <si>
    <t>PELLERIN JEREMY</t>
  </si>
  <si>
    <t>LIMOGES FC</t>
  </si>
  <si>
    <t>PELLETIER ANTONIN</t>
  </si>
  <si>
    <t>PARTHENAY/VIENNAY</t>
  </si>
  <si>
    <t>PERDRIX SIMON</t>
  </si>
  <si>
    <t>POUMERIE THOMAS</t>
  </si>
  <si>
    <t>SO AGEN</t>
  </si>
  <si>
    <t>POUPIN THEO</t>
  </si>
  <si>
    <t>ENTENTE ST MAURICE</t>
  </si>
  <si>
    <t>MILIEU O</t>
  </si>
  <si>
    <t>PRAUD ALEXANDRE</t>
  </si>
  <si>
    <t>ROCHEFORT</t>
  </si>
  <si>
    <t>QUEREL BASTIEN</t>
  </si>
  <si>
    <t>RABOUAM THEO</t>
  </si>
  <si>
    <t>Milieu</t>
  </si>
  <si>
    <t>RAISON MATHIEU</t>
  </si>
  <si>
    <t>RHINO FLORENTIN</t>
  </si>
  <si>
    <t>DD ou MD</t>
  </si>
  <si>
    <t>ROUFFIGNAT DIMITRI</t>
  </si>
  <si>
    <t>VFF FONTENAY LE CTE</t>
  </si>
  <si>
    <t>ROY STEVEN</t>
  </si>
  <si>
    <t>F.C. VRIGNES</t>
  </si>
  <si>
    <t>SAILLOL BASTIEN</t>
  </si>
  <si>
    <t>AR. OU M</t>
  </si>
  <si>
    <t>SUIRE STEVEN</t>
  </si>
  <si>
    <t>MAUZE</t>
  </si>
  <si>
    <t>TARENT YOHAN</t>
  </si>
  <si>
    <t>Déf. Centr</t>
  </si>
  <si>
    <t>TRANCHANT BASTIEN</t>
  </si>
  <si>
    <t>Jeu réduit</t>
  </si>
  <si>
    <t xml:space="preserve">Jeu réduit </t>
  </si>
  <si>
    <t xml:space="preserve">CLASSEMENTS </t>
  </si>
  <si>
    <t>CAPRADO REMY</t>
  </si>
  <si>
    <t>AIGUILLON MAXIME</t>
  </si>
  <si>
    <t>BOBE DE BELLEVILLE LUCAS</t>
  </si>
  <si>
    <t>CAVIER MAXIME</t>
  </si>
  <si>
    <t>DARBON ALEXANDRE</t>
  </si>
  <si>
    <t>FAURE MAXIME</t>
  </si>
  <si>
    <t>EFFECTIFS</t>
  </si>
  <si>
    <t>Joueurs 2009 - 2010</t>
  </si>
  <si>
    <t>Joueurs 2007 - 2008</t>
  </si>
  <si>
    <t>Total</t>
  </si>
  <si>
    <t>Nombres de candidats :</t>
  </si>
  <si>
    <t>Pieds :</t>
  </si>
  <si>
    <t xml:space="preserve">Droitiers </t>
  </si>
  <si>
    <t>Gauchers</t>
  </si>
  <si>
    <t>Régime :</t>
  </si>
  <si>
    <t>Interne</t>
  </si>
  <si>
    <t>Demi - Pensionnaire</t>
  </si>
  <si>
    <t>Année de naissance :</t>
  </si>
  <si>
    <t>Niveau Scolaire :</t>
  </si>
  <si>
    <t>A</t>
  </si>
  <si>
    <t>B</t>
  </si>
  <si>
    <t>C</t>
  </si>
  <si>
    <t>D</t>
  </si>
  <si>
    <t>E</t>
  </si>
  <si>
    <t>MOYENNES RESULTATS</t>
  </si>
  <si>
    <t>Jongles Pied Gauche</t>
  </si>
  <si>
    <t>Jongles Pied Droit</t>
  </si>
  <si>
    <t xml:space="preserve">Jongles Tête </t>
  </si>
  <si>
    <t>Note Jonglerie</t>
  </si>
  <si>
    <t xml:space="preserve">Vitesse </t>
  </si>
  <si>
    <t>Note 10 mètre</t>
  </si>
  <si>
    <t>Note 40 mètre</t>
  </si>
  <si>
    <t>Note Aérobie</t>
  </si>
  <si>
    <t>Note Tests Spécifiques</t>
  </si>
  <si>
    <t>Note Jeu Réduit</t>
  </si>
  <si>
    <t>Note Jeu à 11</t>
  </si>
  <si>
    <t>Note Générale</t>
  </si>
  <si>
    <t xml:space="preserve">COMPARATEUR DE CANDIDATS </t>
  </si>
  <si>
    <t>DANS QUELLE CATEGORIE SOUHAITEZ VOUS FAIRE UNE COMPARAISON ?</t>
  </si>
  <si>
    <t>JOUEUR 1</t>
  </si>
  <si>
    <t>JOUEUR 2</t>
  </si>
  <si>
    <t xml:space="preserve"> </t>
  </si>
  <si>
    <t>Pays</t>
  </si>
  <si>
    <t>Provinces</t>
  </si>
  <si>
    <t>Départements</t>
  </si>
  <si>
    <t>Nb de joueurs</t>
  </si>
  <si>
    <t>France</t>
  </si>
  <si>
    <t>Nouvelle-Aquitaine</t>
  </si>
  <si>
    <t>Centre-Val de Loire</t>
  </si>
  <si>
    <t>Pays de la Loire</t>
  </si>
  <si>
    <t>Jonglerie : /50</t>
  </si>
  <si>
    <t>10 mètres : /10</t>
  </si>
  <si>
    <t>40 mètres : /20</t>
  </si>
  <si>
    <t>Distance : /20</t>
  </si>
  <si>
    <t>Jeu réduit : /50</t>
  </si>
  <si>
    <t>Jeu à 11 : /100</t>
  </si>
  <si>
    <t>Général : /250</t>
  </si>
  <si>
    <t>Test Spec : /120</t>
  </si>
  <si>
    <t>Jeu à 11 : /50</t>
  </si>
  <si>
    <t>Année 2007</t>
  </si>
  <si>
    <t>Année 2008</t>
  </si>
  <si>
    <t>Année 2009</t>
  </si>
  <si>
    <t>Année 2010</t>
  </si>
  <si>
    <t xml:space="preserve"> Equipe : CHAMOIS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</si>
</sst>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20"/>
      <color theme="1"/>
      <name val="Aptos Narrow"/>
      <family val="2"/>
      <scheme val="minor"/>
    </font>
    <font>
      <sz val="28"/>
      <color theme="1"/>
      <name val="Aptos Narrow"/>
      <family val="2"/>
      <scheme val="minor"/>
    </font>
    <font>
      <sz val="11"/>
      <name val="Aptos Narrow"/>
      <family val="2"/>
      <scheme val="minor"/>
    </font>
    <font>
      <b/>
      <sz val="11"/>
      <name val="Aptos Narrow"/>
      <family val="2"/>
      <scheme val="minor"/>
    </font>
    <font>
      <u/>
      <sz val="11"/>
      <color theme="10"/>
      <name val="Aptos Narrow"/>
      <family val="2"/>
      <scheme val="minor"/>
    </font>
    <font>
      <sz val="18"/>
      <color theme="0"/>
      <name val="Aptos Narrow"/>
      <family val="2"/>
      <scheme val="minor"/>
    </font>
    <font>
      <b/>
      <sz val="12"/>
      <color theme="0"/>
      <name val="Aptos Narrow"/>
      <family val="2"/>
      <scheme val="minor"/>
    </font>
    <font>
      <sz val="10"/>
      <name val="Arial"/>
      <family val="2"/>
    </font>
    <font>
      <b/>
      <sz val="10"/>
      <color theme="0"/>
      <name val="Arial"/>
      <family val="2"/>
    </font>
    <font>
      <sz val="12"/>
      <color theme="0"/>
      <name val="Aptos Narrow"/>
      <family val="2"/>
      <scheme val="minor"/>
    </font>
    <font>
      <sz val="8"/>
      <name val="Aptos Narrow"/>
      <family val="2"/>
      <scheme val="minor"/>
    </font>
    <font>
      <sz val="10"/>
      <color theme="0"/>
      <name val="Arial"/>
      <family val="2"/>
    </font>
  </fonts>
  <fills count="7">
    <fill>
      <patternFill patternType="none"/>
    </fill>
    <fill>
      <patternFill patternType="gray125"/>
    </fill>
    <fill>
      <patternFill patternType="solid">
        <fgColor theme="0" tint="-0.14999847407452621"/>
        <bgColor indexed="64"/>
      </patternFill>
    </fill>
    <fill>
      <patternFill patternType="solid">
        <fgColor rgb="FF3C7D22"/>
        <bgColor indexed="64"/>
      </patternFill>
    </fill>
    <fill>
      <patternFill patternType="solid">
        <fgColor rgb="FF8ED973"/>
        <bgColor indexed="64"/>
      </patternFill>
    </fill>
    <fill>
      <patternFill patternType="solid">
        <fgColor theme="4" tint="0.59999389629810485"/>
        <bgColor indexed="64"/>
      </patternFill>
    </fill>
    <fill>
      <patternFill patternType="solid">
        <fgColor rgb="FF3C7D22"/>
        <bgColor theme="4" tint="0.79998168889431442"/>
      </patternFill>
    </fill>
  </fills>
  <borders count="5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style="thick">
        <color theme="0"/>
      </top>
      <bottom/>
      <diagonal/>
    </border>
    <border>
      <left/>
      <right style="thick">
        <color theme="0"/>
      </right>
      <top style="thick">
        <color theme="0"/>
      </top>
      <bottom/>
      <diagonal/>
    </border>
    <border>
      <left/>
      <right/>
      <top/>
      <bottom style="thick">
        <color theme="0"/>
      </bottom>
      <diagonal/>
    </border>
    <border>
      <left/>
      <right style="thick">
        <color theme="0"/>
      </right>
      <top/>
      <bottom style="thick">
        <color theme="0"/>
      </bottom>
      <diagonal/>
    </border>
    <border>
      <left/>
      <right style="thick">
        <color theme="0"/>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thick">
        <color theme="0"/>
      </left>
      <right/>
      <top style="thick">
        <color theme="0"/>
      </top>
      <bottom/>
      <diagonal/>
    </border>
    <border>
      <left style="thick">
        <color theme="0"/>
      </left>
      <right/>
      <top/>
      <bottom style="thick">
        <color theme="0"/>
      </bottom>
      <diagonal/>
    </border>
    <border>
      <left style="thick">
        <color theme="0"/>
      </left>
      <right/>
      <top/>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theme="0"/>
      </left>
      <right style="thin">
        <color theme="0"/>
      </right>
      <top style="thin">
        <color theme="0"/>
      </top>
      <bottom style="thin">
        <color theme="0"/>
      </bottom>
      <diagonal/>
    </border>
    <border>
      <left style="thick">
        <color theme="0" tint="-4.9989318521683403E-2"/>
      </left>
      <right/>
      <top style="thick">
        <color theme="0" tint="-4.9989318521683403E-2"/>
      </top>
      <bottom/>
      <diagonal/>
    </border>
    <border>
      <left/>
      <right/>
      <top style="thick">
        <color theme="0" tint="-4.9989318521683403E-2"/>
      </top>
      <bottom/>
      <diagonal/>
    </border>
    <border>
      <left/>
      <right style="thick">
        <color theme="0" tint="-4.9989318521683403E-2"/>
      </right>
      <top style="thick">
        <color theme="0" tint="-4.9989318521683403E-2"/>
      </top>
      <bottom/>
      <diagonal/>
    </border>
    <border>
      <left style="thick">
        <color theme="0" tint="-4.9989318521683403E-2"/>
      </left>
      <right/>
      <top/>
      <bottom/>
      <diagonal/>
    </border>
    <border>
      <left/>
      <right style="thick">
        <color theme="0" tint="-4.9989318521683403E-2"/>
      </right>
      <top/>
      <bottom/>
      <diagonal/>
    </border>
    <border>
      <left style="thick">
        <color theme="0" tint="-4.9989318521683403E-2"/>
      </left>
      <right/>
      <top/>
      <bottom style="thick">
        <color theme="0" tint="-4.9989318521683403E-2"/>
      </bottom>
      <diagonal/>
    </border>
    <border>
      <left/>
      <right/>
      <top/>
      <bottom style="thick">
        <color theme="0" tint="-4.9989318521683403E-2"/>
      </bottom>
      <diagonal/>
    </border>
    <border>
      <left/>
      <right style="thick">
        <color theme="0" tint="-4.9989318521683403E-2"/>
      </right>
      <top/>
      <bottom style="thick">
        <color theme="0" tint="-4.9989318521683403E-2"/>
      </bottom>
      <diagonal/>
    </border>
  </borders>
  <cellStyleXfs count="3">
    <xf numFmtId="0" fontId="0" fillId="0" borderId="0"/>
    <xf numFmtId="0" fontId="8" fillId="0" borderId="0" applyNumberFormat="0" applyFill="0" applyBorder="0" applyAlignment="0" applyProtection="0"/>
    <xf numFmtId="0" fontId="11" fillId="0" borderId="0"/>
  </cellStyleXfs>
  <cellXfs count="138">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xf numFmtId="0" fontId="0" fillId="2" borderId="5" xfId="0" applyFill="1" applyBorder="1"/>
    <xf numFmtId="0" fontId="4" fillId="2" borderId="10" xfId="0" applyFont="1" applyFill="1" applyBorder="1"/>
    <xf numFmtId="14" fontId="4" fillId="2" borderId="11" xfId="0" applyNumberFormat="1" applyFont="1" applyFill="1" applyBorder="1"/>
    <xf numFmtId="0" fontId="6" fillId="2" borderId="0" xfId="0" applyFont="1" applyFill="1"/>
    <xf numFmtId="0" fontId="0" fillId="0" borderId="0" xfId="0" applyAlignment="1">
      <alignment horizontal="center"/>
    </xf>
    <xf numFmtId="2" fontId="0" fillId="0" borderId="0" xfId="0" applyNumberFormat="1"/>
    <xf numFmtId="0" fontId="6" fillId="0" borderId="0" xfId="0" applyFont="1"/>
    <xf numFmtId="1" fontId="0" fillId="0" borderId="0" xfId="0" applyNumberFormat="1"/>
    <xf numFmtId="0" fontId="0" fillId="2" borderId="2" xfId="0" applyFill="1" applyBorder="1" applyAlignment="1">
      <alignment horizontal="left"/>
    </xf>
    <xf numFmtId="0" fontId="0" fillId="2" borderId="0" xfId="0" applyFill="1" applyAlignment="1">
      <alignment horizontal="left"/>
    </xf>
    <xf numFmtId="0" fontId="4" fillId="2" borderId="10" xfId="0" applyFont="1" applyFill="1" applyBorder="1" applyAlignment="1">
      <alignment horizontal="left"/>
    </xf>
    <xf numFmtId="0" fontId="0" fillId="0" borderId="0" xfId="0" applyAlignment="1">
      <alignment horizontal="left"/>
    </xf>
    <xf numFmtId="0" fontId="0" fillId="0" borderId="18" xfId="0" applyBorder="1"/>
    <xf numFmtId="0" fontId="8" fillId="0" borderId="0" xfId="1"/>
    <xf numFmtId="0" fontId="3" fillId="3" borderId="13" xfId="0" applyFont="1" applyFill="1" applyBorder="1"/>
    <xf numFmtId="0" fontId="0" fillId="4" borderId="0" xfId="0" applyFill="1"/>
    <xf numFmtId="0" fontId="0" fillId="4" borderId="19" xfId="0" applyFill="1" applyBorder="1"/>
    <xf numFmtId="0" fontId="0" fillId="4" borderId="20" xfId="0" applyFill="1" applyBorder="1"/>
    <xf numFmtId="0" fontId="0" fillId="4" borderId="21" xfId="0" applyFill="1" applyBorder="1"/>
    <xf numFmtId="0" fontId="0" fillId="4" borderId="22" xfId="0" applyFill="1" applyBorder="1"/>
    <xf numFmtId="0" fontId="0" fillId="4" borderId="23" xfId="0" applyFill="1" applyBorder="1"/>
    <xf numFmtId="0" fontId="0" fillId="4" borderId="24" xfId="0" applyFill="1" applyBorder="1"/>
    <xf numFmtId="0" fontId="0" fillId="4" borderId="25" xfId="0" applyFill="1" applyBorder="1"/>
    <xf numFmtId="0" fontId="0" fillId="4" borderId="26" xfId="0" applyFill="1" applyBorder="1"/>
    <xf numFmtId="0" fontId="1" fillId="3" borderId="19" xfId="0" applyFont="1" applyFill="1" applyBorder="1" applyAlignment="1">
      <alignment horizontal="center" vertical="center"/>
    </xf>
    <xf numFmtId="0" fontId="1" fillId="3" borderId="20" xfId="0" applyFont="1" applyFill="1" applyBorder="1" applyAlignment="1">
      <alignment horizontal="center" vertical="center" wrapText="1"/>
    </xf>
    <xf numFmtId="0" fontId="1" fillId="3" borderId="21" xfId="0" applyFont="1" applyFill="1" applyBorder="1" applyAlignment="1">
      <alignment horizontal="center" vertical="center"/>
    </xf>
    <xf numFmtId="0" fontId="3" fillId="3" borderId="27" xfId="0" applyFont="1" applyFill="1" applyBorder="1"/>
    <xf numFmtId="0" fontId="3" fillId="3" borderId="28" xfId="0" applyFont="1" applyFill="1" applyBorder="1"/>
    <xf numFmtId="0" fontId="3" fillId="3" borderId="29" xfId="0" applyFont="1" applyFill="1" applyBorder="1"/>
    <xf numFmtId="0" fontId="3" fillId="3" borderId="27" xfId="0" applyFont="1" applyFill="1" applyBorder="1" applyAlignment="1">
      <alignment horizontal="center" vertical="center"/>
    </xf>
    <xf numFmtId="0" fontId="3" fillId="3" borderId="29" xfId="0" applyFont="1" applyFill="1" applyBorder="1" applyAlignment="1">
      <alignment horizontal="center" vertical="center"/>
    </xf>
    <xf numFmtId="0" fontId="3" fillId="3" borderId="28" xfId="0" applyFont="1" applyFill="1" applyBorder="1" applyAlignment="1">
      <alignment horizontal="center" vertical="center"/>
    </xf>
    <xf numFmtId="0" fontId="1" fillId="3" borderId="30" xfId="0" applyFont="1" applyFill="1" applyBorder="1" applyAlignment="1">
      <alignment horizontal="center" vertical="center"/>
    </xf>
    <xf numFmtId="0" fontId="1" fillId="3" borderId="22" xfId="0" applyFont="1" applyFill="1" applyBorder="1" applyAlignment="1">
      <alignment horizontal="center" vertical="center" wrapText="1"/>
    </xf>
    <xf numFmtId="0" fontId="1" fillId="3" borderId="23" xfId="0" applyFont="1" applyFill="1" applyBorder="1" applyAlignment="1">
      <alignment horizontal="center" vertical="center"/>
    </xf>
    <xf numFmtId="0" fontId="0" fillId="4" borderId="31" xfId="0" applyFill="1" applyBorder="1"/>
    <xf numFmtId="0" fontId="0" fillId="4" borderId="30" xfId="0" applyFill="1" applyBorder="1"/>
    <xf numFmtId="0" fontId="0" fillId="4" borderId="32" xfId="0" applyFill="1" applyBorder="1"/>
    <xf numFmtId="0" fontId="3" fillId="4" borderId="33" xfId="0" applyFont="1" applyFill="1" applyBorder="1"/>
    <xf numFmtId="0" fontId="0" fillId="4" borderId="34" xfId="0" applyFill="1" applyBorder="1"/>
    <xf numFmtId="0" fontId="0" fillId="4" borderId="35" xfId="0" applyFill="1" applyBorder="1"/>
    <xf numFmtId="0" fontId="3" fillId="4" borderId="36" xfId="0" applyFont="1" applyFill="1" applyBorder="1"/>
    <xf numFmtId="0" fontId="1" fillId="4" borderId="0" xfId="0" applyFont="1" applyFill="1" applyAlignment="1">
      <alignment horizontal="center" vertical="center"/>
    </xf>
    <xf numFmtId="0" fontId="0" fillId="4" borderId="37" xfId="0" applyFill="1" applyBorder="1"/>
    <xf numFmtId="0" fontId="3" fillId="3" borderId="0" xfId="0" applyFont="1" applyFill="1" applyAlignment="1">
      <alignment horizontal="center" vertical="center"/>
    </xf>
    <xf numFmtId="0" fontId="0" fillId="4" borderId="38" xfId="0" applyFill="1" applyBorder="1"/>
    <xf numFmtId="0" fontId="0" fillId="4" borderId="39" xfId="0" applyFill="1" applyBorder="1"/>
    <xf numFmtId="0" fontId="0" fillId="4" borderId="40" xfId="0" applyFill="1" applyBorder="1"/>
    <xf numFmtId="0" fontId="0" fillId="4" borderId="33" xfId="0" applyFill="1" applyBorder="1"/>
    <xf numFmtId="0" fontId="0" fillId="4" borderId="36" xfId="0" applyFill="1" applyBorder="1"/>
    <xf numFmtId="0" fontId="1" fillId="4" borderId="0" xfId="0" applyFont="1" applyFill="1" applyAlignment="1">
      <alignment horizontal="center" vertical="center" wrapText="1"/>
    </xf>
    <xf numFmtId="0" fontId="3" fillId="3" borderId="0" xfId="0" applyFont="1" applyFill="1"/>
    <xf numFmtId="0" fontId="3" fillId="3" borderId="30" xfId="0" applyFont="1" applyFill="1" applyBorder="1" applyAlignment="1">
      <alignment horizontal="center" vertical="center"/>
    </xf>
    <xf numFmtId="0" fontId="3" fillId="3" borderId="31" xfId="0" applyFont="1" applyFill="1" applyBorder="1" applyAlignment="1">
      <alignment horizontal="center" vertical="center"/>
    </xf>
    <xf numFmtId="2" fontId="0" fillId="4" borderId="23" xfId="0" applyNumberFormat="1" applyFill="1" applyBorder="1"/>
    <xf numFmtId="2" fontId="0" fillId="4" borderId="26" xfId="0" applyNumberFormat="1" applyFill="1" applyBorder="1"/>
    <xf numFmtId="2" fontId="0" fillId="4" borderId="25" xfId="0" applyNumberFormat="1" applyFill="1" applyBorder="1"/>
    <xf numFmtId="2" fontId="0" fillId="4" borderId="0" xfId="0" applyNumberFormat="1" applyFill="1"/>
    <xf numFmtId="0" fontId="0" fillId="3" borderId="0" xfId="0" applyFill="1"/>
    <xf numFmtId="0" fontId="0" fillId="4" borderId="0" xfId="0" applyFill="1" applyAlignment="1">
      <alignment horizontal="center" vertical="center"/>
    </xf>
    <xf numFmtId="0" fontId="0" fillId="3" borderId="42" xfId="0" applyFill="1" applyBorder="1" applyAlignment="1">
      <alignment horizontal="center" vertical="center"/>
    </xf>
    <xf numFmtId="0" fontId="0" fillId="3" borderId="43" xfId="0" applyFill="1" applyBorder="1" applyAlignment="1">
      <alignment horizontal="center" vertical="center"/>
    </xf>
    <xf numFmtId="0" fontId="0" fillId="3" borderId="33" xfId="0" applyFill="1" applyBorder="1"/>
    <xf numFmtId="0" fontId="0" fillId="3" borderId="34" xfId="0" applyFill="1" applyBorder="1"/>
    <xf numFmtId="0" fontId="0" fillId="3" borderId="35" xfId="0" applyFill="1" applyBorder="1"/>
    <xf numFmtId="0" fontId="0" fillId="3" borderId="36" xfId="0" applyFill="1" applyBorder="1"/>
    <xf numFmtId="0" fontId="0" fillId="3" borderId="37" xfId="0" applyFill="1" applyBorder="1"/>
    <xf numFmtId="0" fontId="0" fillId="3" borderId="38" xfId="0" applyFill="1" applyBorder="1"/>
    <xf numFmtId="0" fontId="0" fillId="3" borderId="39" xfId="0" applyFill="1" applyBorder="1"/>
    <xf numFmtId="0" fontId="0" fillId="3" borderId="40" xfId="0" applyFill="1" applyBorder="1"/>
    <xf numFmtId="0" fontId="3" fillId="3" borderId="34" xfId="0" applyFont="1" applyFill="1" applyBorder="1" applyAlignment="1">
      <alignment horizontal="center" vertical="center"/>
    </xf>
    <xf numFmtId="0" fontId="3" fillId="3" borderId="34" xfId="0" applyFont="1" applyFill="1" applyBorder="1"/>
    <xf numFmtId="0" fontId="13" fillId="3" borderId="41" xfId="0" applyFont="1" applyFill="1" applyBorder="1" applyAlignment="1">
      <alignment horizontal="left" vertical="center"/>
    </xf>
    <xf numFmtId="0" fontId="0" fillId="3" borderId="30" xfId="0" applyFill="1" applyBorder="1"/>
    <xf numFmtId="0" fontId="0" fillId="3" borderId="22" xfId="0" applyFill="1" applyBorder="1"/>
    <xf numFmtId="0" fontId="0" fillId="3" borderId="23" xfId="0" applyFill="1" applyBorder="1"/>
    <xf numFmtId="0" fontId="0" fillId="3" borderId="32" xfId="0" applyFill="1" applyBorder="1"/>
    <xf numFmtId="0" fontId="0" fillId="3" borderId="26" xfId="0" applyFill="1" applyBorder="1"/>
    <xf numFmtId="0" fontId="0" fillId="3" borderId="31" xfId="0" applyFill="1" applyBorder="1"/>
    <xf numFmtId="0" fontId="0" fillId="3" borderId="24" xfId="0" applyFill="1" applyBorder="1"/>
    <xf numFmtId="0" fontId="0" fillId="3" borderId="25" xfId="0" applyFill="1" applyBorder="1"/>
    <xf numFmtId="0" fontId="0" fillId="3" borderId="45" xfId="0" applyFill="1" applyBorder="1" applyAlignment="1">
      <alignment horizontal="center" vertical="center"/>
    </xf>
    <xf numFmtId="0" fontId="10" fillId="3" borderId="46" xfId="0" applyFont="1" applyFill="1" applyBorder="1" applyAlignment="1">
      <alignment horizontal="center" vertical="center"/>
    </xf>
    <xf numFmtId="0" fontId="0" fillId="3" borderId="47" xfId="0" applyFill="1" applyBorder="1" applyAlignment="1">
      <alignment horizontal="center" vertical="center"/>
    </xf>
    <xf numFmtId="0" fontId="0" fillId="3" borderId="48" xfId="0" applyFill="1" applyBorder="1"/>
    <xf numFmtId="0" fontId="0" fillId="3" borderId="49" xfId="0" applyFill="1" applyBorder="1"/>
    <xf numFmtId="0" fontId="0" fillId="3" borderId="50" xfId="0" applyFill="1" applyBorder="1"/>
    <xf numFmtId="0" fontId="0" fillId="3" borderId="51" xfId="0" applyFill="1" applyBorder="1"/>
    <xf numFmtId="0" fontId="0" fillId="3" borderId="52" xfId="0" applyFill="1" applyBorder="1"/>
    <xf numFmtId="0" fontId="3" fillId="3" borderId="14" xfId="0" applyFont="1" applyFill="1" applyBorder="1"/>
    <xf numFmtId="0" fontId="3" fillId="3" borderId="13" xfId="0" applyFont="1" applyFill="1" applyBorder="1" applyAlignment="1">
      <alignment horizontal="center"/>
    </xf>
    <xf numFmtId="0" fontId="3" fillId="3" borderId="15" xfId="0" applyFont="1" applyFill="1" applyBorder="1" applyAlignment="1">
      <alignment horizontal="center"/>
    </xf>
    <xf numFmtId="0" fontId="2" fillId="4" borderId="9" xfId="0" applyFont="1" applyFill="1" applyBorder="1"/>
    <xf numFmtId="0" fontId="2" fillId="4" borderId="12" xfId="0" applyFont="1" applyFill="1" applyBorder="1"/>
    <xf numFmtId="0" fontId="7" fillId="4" borderId="9" xfId="0" applyFont="1" applyFill="1" applyBorder="1"/>
    <xf numFmtId="0" fontId="7" fillId="4" borderId="9" xfId="0" applyFont="1" applyFill="1" applyBorder="1" applyAlignment="1">
      <alignment horizontal="center"/>
    </xf>
    <xf numFmtId="0" fontId="3" fillId="3" borderId="14" xfId="0" applyFont="1" applyFill="1" applyBorder="1" applyAlignment="1">
      <alignment horizontal="left"/>
    </xf>
    <xf numFmtId="0" fontId="0" fillId="4" borderId="13" xfId="0" applyFill="1" applyBorder="1"/>
    <xf numFmtId="0" fontId="12" fillId="3" borderId="0" xfId="2" applyFont="1" applyFill="1"/>
    <xf numFmtId="0" fontId="3" fillId="4" borderId="0" xfId="0" applyFont="1" applyFill="1"/>
    <xf numFmtId="0" fontId="15" fillId="3" borderId="0" xfId="2" applyFont="1" applyFill="1"/>
    <xf numFmtId="0" fontId="3" fillId="3" borderId="0" xfId="0" applyFont="1" applyFill="1" applyAlignment="1">
      <alignment horizontal="left"/>
    </xf>
    <xf numFmtId="0" fontId="15" fillId="6" borderId="44" xfId="2" applyFont="1" applyFill="1" applyBorder="1"/>
    <xf numFmtId="0" fontId="15" fillId="3" borderId="0" xfId="0" applyFont="1" applyFill="1" applyAlignment="1">
      <alignment horizontal="left"/>
    </xf>
    <xf numFmtId="0" fontId="0" fillId="5" borderId="1" xfId="0" applyFill="1" applyBorder="1"/>
    <xf numFmtId="0" fontId="0" fillId="5" borderId="2" xfId="0" applyFill="1" applyBorder="1"/>
    <xf numFmtId="0" fontId="0" fillId="5" borderId="3" xfId="0" applyFill="1" applyBorder="1"/>
    <xf numFmtId="0" fontId="0" fillId="5" borderId="4" xfId="0" applyFill="1" applyBorder="1"/>
    <xf numFmtId="0" fontId="0" fillId="5" borderId="0" xfId="0" applyFill="1"/>
    <xf numFmtId="0" fontId="0" fillId="5" borderId="5" xfId="0" applyFill="1" applyBorder="1"/>
    <xf numFmtId="0" fontId="0" fillId="5" borderId="6" xfId="0" applyFill="1" applyBorder="1"/>
    <xf numFmtId="0" fontId="0" fillId="5" borderId="7" xfId="0" applyFill="1" applyBorder="1"/>
    <xf numFmtId="0" fontId="0" fillId="5" borderId="8" xfId="0" applyFill="1" applyBorder="1"/>
    <xf numFmtId="0" fontId="9" fillId="3" borderId="30" xfId="0" applyFont="1" applyFill="1" applyBorder="1" applyAlignment="1">
      <alignment horizontal="center" vertical="center" wrapText="1"/>
    </xf>
    <xf numFmtId="0" fontId="9" fillId="3" borderId="22" xfId="0" applyFont="1" applyFill="1" applyBorder="1" applyAlignment="1">
      <alignment horizontal="center" vertical="center" wrapText="1"/>
    </xf>
    <xf numFmtId="0" fontId="9" fillId="3" borderId="23" xfId="0" applyFont="1" applyFill="1" applyBorder="1" applyAlignment="1">
      <alignment horizontal="center" vertical="center" wrapText="1"/>
    </xf>
    <xf numFmtId="0" fontId="9" fillId="3" borderId="32"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26" xfId="0" applyFont="1" applyFill="1" applyBorder="1" applyAlignment="1">
      <alignment horizontal="center" vertical="center" wrapText="1"/>
    </xf>
    <xf numFmtId="0" fontId="9" fillId="3" borderId="31" xfId="0" applyFont="1" applyFill="1" applyBorder="1" applyAlignment="1">
      <alignment horizontal="center" vertical="center" wrapText="1"/>
    </xf>
    <xf numFmtId="0" fontId="9" fillId="3" borderId="24" xfId="0" applyFont="1" applyFill="1" applyBorder="1" applyAlignment="1">
      <alignment horizontal="center" vertical="center" wrapText="1"/>
    </xf>
    <xf numFmtId="0" fontId="9" fillId="3" borderId="25" xfId="0" applyFont="1" applyFill="1" applyBorder="1" applyAlignment="1">
      <alignment horizontal="center" vertical="center" wrapText="1"/>
    </xf>
    <xf numFmtId="0" fontId="5" fillId="2" borderId="0" xfId="0" applyFont="1" applyFill="1" applyAlignment="1">
      <alignment horizontal="center"/>
    </xf>
    <xf numFmtId="0" fontId="2" fillId="5" borderId="9" xfId="0" applyFont="1" applyFill="1" applyBorder="1" applyAlignment="1">
      <alignment horizontal="center"/>
    </xf>
    <xf numFmtId="0" fontId="2" fillId="4" borderId="9" xfId="0" applyFont="1" applyFill="1" applyBorder="1" applyAlignment="1">
      <alignment horizontal="center"/>
    </xf>
    <xf numFmtId="0" fontId="0" fillId="2" borderId="0" xfId="0" applyFill="1" applyAlignment="1">
      <alignment horizontal="center"/>
    </xf>
    <xf numFmtId="0" fontId="0" fillId="2" borderId="5" xfId="0" applyFill="1" applyBorder="1" applyAlignment="1">
      <alignment horizontal="center"/>
    </xf>
    <xf numFmtId="0" fontId="1" fillId="3" borderId="10" xfId="0" applyFont="1" applyFill="1" applyBorder="1" applyAlignment="1">
      <alignment horizontal="center"/>
    </xf>
    <xf numFmtId="0" fontId="1" fillId="3" borderId="16" xfId="0" applyFont="1" applyFill="1" applyBorder="1" applyAlignment="1">
      <alignment horizontal="center"/>
    </xf>
    <xf numFmtId="0" fontId="1" fillId="3" borderId="11" xfId="0" applyFont="1" applyFill="1" applyBorder="1" applyAlignment="1">
      <alignment horizontal="center"/>
    </xf>
    <xf numFmtId="0" fontId="1" fillId="3" borderId="17" xfId="0" applyFont="1" applyFill="1" applyBorder="1" applyAlignment="1">
      <alignment horizontal="center"/>
    </xf>
  </cellXfs>
  <cellStyles count="3">
    <cellStyle name="Lien hypertexte" xfId="1" builtinId="8"/>
    <cellStyle name="Normal" xfId="0" builtinId="0"/>
    <cellStyle name="Normal 2" xfId="2" xr:uid="{8D7B7A33-7CBE-42B6-89A4-E9D970DB9E38}"/>
  </cellStyles>
  <dxfs count="7">
    <dxf>
      <font>
        <strike val="0"/>
        <outline val="0"/>
        <shadow val="0"/>
        <u val="none"/>
        <vertAlign val="baseline"/>
        <color theme="0"/>
      </font>
      <fill>
        <patternFill patternType="solid">
          <bgColor rgb="FF3C7D22"/>
        </patternFill>
      </fill>
    </dxf>
    <dxf>
      <font>
        <strike val="0"/>
        <outline val="0"/>
        <shadow val="0"/>
        <u val="none"/>
        <vertAlign val="baseline"/>
        <color theme="0"/>
      </font>
      <fill>
        <patternFill patternType="solid">
          <bgColor rgb="FF3C7D22"/>
        </patternFill>
      </fill>
      <alignment horizontal="left" vertical="bottom" textRotation="0" wrapText="0" indent="0" justifyLastLine="0" shrinkToFit="0" readingOrder="0"/>
    </dxf>
    <dxf>
      <font>
        <strike val="0"/>
        <outline val="0"/>
        <shadow val="0"/>
        <u val="none"/>
        <vertAlign val="baseline"/>
        <color theme="0"/>
      </font>
      <fill>
        <patternFill patternType="solid">
          <bgColor rgb="FF3C7D22"/>
        </patternFill>
      </fill>
    </dxf>
    <dxf>
      <font>
        <strike val="0"/>
        <outline val="0"/>
        <shadow val="0"/>
        <u val="none"/>
        <vertAlign val="baseline"/>
        <color theme="0"/>
      </font>
      <fill>
        <patternFill patternType="solid">
          <bgColor rgb="FF3C7D22"/>
        </patternFill>
      </fill>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theme="0"/>
        <family val="2"/>
      </font>
      <fill>
        <patternFill patternType="solid">
          <bgColor rgb="FF3C7D22"/>
        </patternFill>
      </fill>
    </dxf>
    <dxf>
      <font>
        <b/>
        <i val="0"/>
        <strike val="0"/>
        <condense val="0"/>
        <extend val="0"/>
        <outline val="0"/>
        <shadow val="0"/>
        <u val="none"/>
        <vertAlign val="baseline"/>
        <sz val="10"/>
        <color theme="0"/>
        <name val="Arial"/>
        <family val="2"/>
        <scheme val="none"/>
      </font>
      <fill>
        <patternFill patternType="solid">
          <fgColor indexed="64"/>
          <bgColor rgb="FF3C7D22"/>
        </patternFill>
      </fill>
    </dxf>
  </dxfs>
  <tableStyles count="0" defaultTableStyle="TableStyleMedium2" defaultPivotStyle="PivotStyleLight16"/>
  <colors>
    <mruColors>
      <color rgb="FF8ED973"/>
      <color rgb="FF3C7D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20/07/relationships/rdRichValueWebImage" Target="richData/rdRichValueWebImage.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joueurs : Joueurs 2009 - 2010 / Pieds</a:t>
            </a:r>
          </a:p>
        </c:rich>
      </c:tx>
      <c:overlay val="0"/>
    </c:title>
    <c:autoTitleDeleted val="0"/>
    <c:plotArea>
      <c:layout/>
      <c:pieChart>
        <c:varyColors val="1"/>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TableauBord!$B$18:$B$19</c:f>
              <c:strCache>
                <c:ptCount val="2"/>
                <c:pt idx="0">
                  <c:v>Droitiers </c:v>
                </c:pt>
                <c:pt idx="1">
                  <c:v>Gauchers</c:v>
                </c:pt>
              </c:strCache>
            </c:strRef>
          </c:cat>
          <c:val>
            <c:numRef>
              <c:f>TableauBord!$E$18:$E$19</c:f>
              <c:numCache>
                <c:formatCode>General</c:formatCode>
                <c:ptCount val="2"/>
                <c:pt idx="0">
                  <c:v>32</c:v>
                </c:pt>
                <c:pt idx="1">
                  <c:v>11</c:v>
                </c:pt>
              </c:numCache>
            </c:numRef>
          </c:val>
          <c:extLst>
            <c:ext xmlns:c16="http://schemas.microsoft.com/office/drawing/2014/chart" uri="{C3380CC4-5D6E-409C-BE32-E72D297353CC}">
              <c16:uniqueId val="{00000000-3606-4EE9-837C-5C855281C881}"/>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11">
          <cx:pt idx="0">8581300</cx:pt>
          <cx:pt idx="1">8581298</cx:pt>
          <cx:pt idx="2">8576149</cx:pt>
          <cx:pt idx="3">8570578</cx:pt>
          <cx:pt idx="4">8568340</cx:pt>
          <cx:pt idx="5">8567422</cx:pt>
          <cx:pt idx="6">7013392415025266689</cx:pt>
          <cx:pt idx="7">8552450</cx:pt>
          <cx:pt idx="8">8552113</cx:pt>
          <cx:pt idx="9">8524650</cx:pt>
          <cx:pt idx="10">8523790</cx:pt>
        </cx:lvl>
        <cx:lvl ptCount="11">
          <cx:pt idx="0"/>
          <cx:pt idx="1"/>
          <cx:pt idx="2"/>
          <cx:pt idx="3"/>
          <cx:pt idx="4"/>
          <cx:pt idx="5"/>
          <cx:pt idx="6"/>
          <cx:pt idx="7"/>
          <cx:pt idx="8"/>
          <cx:pt idx="9"/>
          <cx:pt idx="10"/>
        </cx:lvl>
        <cx:lvl ptCount="11">
          <cx:pt idx="0"/>
          <cx:pt idx="1"/>
          <cx:pt idx="2"/>
          <cx:pt idx="3"/>
          <cx:pt idx="4"/>
          <cx:pt idx="5"/>
          <cx:pt idx="6"/>
          <cx:pt idx="7"/>
          <cx:pt idx="8"/>
          <cx:pt idx="9"/>
          <cx:pt idx="10"/>
        </cx:lvl>
      </cx:strDim>
      <cx:strDim type="cat">
        <cx:f>_xlchart.v6.1</cx:f>
        <cx:nf>_xlchart.v6.0</cx:nf>
      </cx:strDim>
      <cx:numDim type="colorVal">
        <cx:f>_xlchart.v6.3</cx:f>
        <cx:nf>_xlchart.v6.2</cx:nf>
      </cx:numDim>
    </cx:data>
  </cx:chartData>
  <cx:chart>
    <cx:title pos="t" align="ctr" overlay="0">
      <cx:tx>
        <cx:txData>
          <cx:v>Répartition des joueurs selon leur département</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Répartition des joueurs selon leur département</a:t>
          </a:r>
        </a:p>
      </cx:txPr>
    </cx:title>
    <cx:plotArea>
      <cx:plotAreaRegion>
        <cx:series layoutId="regionMap" uniqueId="{3EE32A39-DE80-4445-9C7D-4DD73AA995E0}">
          <cx:tx>
            <cx:txData>
              <cx:f>_xlchart.v6.2</cx:f>
              <cx:v>Nb de joueurs</cx:v>
            </cx:txData>
          </cx:tx>
          <cx:dataId val="0"/>
          <cx:layoutPr>
            <cx:geography cultureLanguage="fr-FR" cultureRegion="FR" attribution="Avec Bing">
              <cx:geoCache provider="{E9337A44-BEBE-4D9F-B70C-5C5E7DAFC167}">
                <cx:binary>lHrpkqY4suWrlNXvS5WEVtq6r9kV8G2xLxm5/MEiIyOFQCCQENtzzRvMi41nd013Vd+Z7hmzCEv7
ki9AEu7Hzznuf35b//Rm31/9T2tn+/Cnt/UvP9fTNPzp11/DW/3evYZfOvPmXXDfp1/eXPer+/7d
vL3/+s2/LqbXv6YI01/f6lc/va8//+ef4W763RWv02vZT2baHuK73x7fQ7RT+JdX/y8Xf3r/622e
t+H9Lz+/futMX5gwefM2/fzbpfO3v/wsUsSZpDiTmEieYSbZzz/9+vtb/vbl29cO7vNfcX73un9P
Huv/+T/gn/+yw3v4t/d7fw0TPOoXLJHIsoxjlCEkRfbzT8v7jyvpL4hTiRBKKSIpy1L580+981P9
l58p/0UimmaS/vgLmSH+80/Bxb9eor9gLGHlJKNCMJLhv5/ivbObdv3fz+23zz/1sbt3pp/CX37G
nMJOh7998f98ErCK4e31Ed7Vj+//h2FD29aaBSUn4ca8XWN20R4lVzxu22Hfd/m414O7Trt+1cqS
KTmviwkq7dtK9Ws9qtlIUWBuvtY1nme10X69YvOaetX4S2pXrIInYx7ldtOJOrlKOvFtx0mVd906
X6rFLLdjMq/lFvkXFDApxmaKBzqKa8NRdUTtXr3uaH9ITD09dtYdd/Z18eL7lpH6KkEmKdI1EWpg
+6qEwOW8Z5Xq6IjzfmuXotv18+SrUXWjQZ9rOzSfJzEkaie9OyBucM4HLq/jLJVr1+QVYsfdtzyG
vIp9VUrrx1olFblLELNFmgmpUDOgT2gfJ6XrbC+6Jei7tNGEqHmq9uMu+1ktQSxlTMZFrYm7z0KV
PXXrwlSzw+3glyv4/cJdMyquK/SM1gG+lc7nJqteajysiWqSrLrq6TofqOlROQ+8fWB9EsptrM2p
dut+mnuk+nSFBwmkGr4XVVVtB1fpuuC1D4qutMvDonFftMPkyzGl8SoVhBdrGk2+DyvJCWy2YJIg
JSqOi8Say15vZR8kKcdkMQVdk5e5Rr1y1tRHt6JdbaHih2Rchys68Vo17rkmvb1MnrGyWqg3apjS
9rIsaCq84LTwW9XncXM3Hm9DQSIrjBPLJaHba0xbd5ol8mrCOBcy0uvMpvtHQ/BWbusWPvhl+o55
/Vrt5m5LILy2PfAyXWHPZvO2TMT+QB3fck1EOPd71Ry7TKPCVvDGpl3ccxkuqTf2hmdLMa6cliK4
L9My2nzBRudLZ5LXiLo+r7ZZPKZ8MkXdrt174lN+Lw1u83m2JeDIUlScpAdhARPV5pLtEEeiusCW
XBDBT9M2faqa7tM4kusNt51aZUhz3+Ae7uC2hx1nyzPrcXrom0RcpjCxEq/I1XnWd1T5NThVTXy9
VLolucg2pvg+hmJgA7rbZ9OrwTT7jUx2d9W1/f6gs0hLmXWTCqx7AxjgpUzRKzU4Hs28s5st0/bb
KkZ6mhI254tM2VWUjbu0FTpvybQrZHG1K9q280lyn5SD0WTI/dpcOdOOJypQIVNS4qyhjepp3d6Z
RK73IpX8Q7u1hy31efQTy6UnO0ThPE1q1IPOKxPMc4fYdJ4X2x7mUBcb7tADo0R+2Oa9vUjZsi94
maciLK1Q2ZZ1+ZrstLQ16w/OrPWhEni6q6OwOa33kEvbQyzTrn7jS3qTarqrKuv7HKfCF9vIMzXP
0j/O1Tqfq+hJ3mx99+LqPlV+TMy5wnOaz2uf3rSdzB5XRvh3PUr8uo8Snduw2mudYH1jIx0O24iT
dyczfzOKdS87rsn1mnGqFeJI5r2r6stCt5oo6WL73YUdcqoibZPHzolP7dzSc7sk7X3kY73lMxP2
nLrOlDpUsFHhWBGM3x/TDA0qdSZv0L4cmrZ9aigaitVW2w2WcjhZa+P9bDZ6hPBvZyUXzHKeTJUp
A+2a73ZM2lyIpr+tmsreVnam+di0UxmntHpYmxk9D4zYIiK0340iIdfpuGYPwzQtnwYinFYV7O0m
DbU4hDjqe9ljc4SFoBawbwrlzKb0odX7VHQhkJMIkuY0OvYyZgOsO/ggblKMw6F2yX7IfDpjZdLU
QXo08tTUWrR5XKi5bHHcjmuCUwBPOcgDCYSZwmlLz6RH2zHOEMEZq+1Tn8whr20fn0yl57xh3t06
41weNng/DfbzQWyonc+6tsl9j2h9xqwKKti6HVQNiXZaSb2cDN74dZMYQNw9HR/Hpa7LrcV6PdRV
yh+k17po/aKFQqbiVwYl86KGsd+Rit3M762YcDFv636PxqFTW6sdXBkXc471Zr4SHWhUvaP8YFmS
2KIDYDZqTZ2WBy7QMOTzKOg1YkS+ji0VcA1bOD45oXZTa8+yF5kt/LOod3Q9TiN/4qad66Ppe6ua
BRUzT4sg0jaHby3lnKKlIDU/QzhPKm2bWNSzew0Ix1JG8mmWyxny69lVMr222VyKfq6KJZmOaZse
R4HfOrs/Dih7D3h4xC4reZt+3bS+W2x3SCJ9CFYmp7k2/p6s5HYSy/xKK3hfFK1P0pjrjGX3CCc3
u0kvDURCvs2Ahauw11VTv7tq6/Jh80TZ+ZH281xi1O0f5DiOp7ALV/ZD1pwY1DW187m9zbpdFIk2
zXs14Lrkqf4aTbfmkFGiDN32Khtu7nTvp8PQpV3REA1Yt9StVK2Yr5BzvPTS7Io3QFCMX/bHJM3Y
QWe7P7bL5J46YdvjqsmxqhJzRZpFt8VEOvkydxBXcqTZbTuM43F1LqLCsy1uOR7b5oqbyhzmtuo+
eWlF7mq5PJJunD9hnDifa5608YCR34/V3uvSO+PVuBL0vImQlqivR6Pg4IsYQ5JXwuubrp2Tqlyp
w1j1LV6UxCs5w7HYk6+BcjTBm0Na6/UqMi6Upn6GDINSQ7IpqMlqrlai4yVkyXbsWy/OetHuI0k9
Ka1dxyGPfCGPcTL2lSPm7ud+28q5Ha9IvV26LrS57wdW9DTexh4wkTt46YyhOWdVfUORIOeFNWZQ
2ZR0ud/r9NV1AF0REPNJ1ys6OOHT25YkBPBrcKfE4twBz7pxJgy3sU2X3E3VzditzbFCaMnX0bli
T5j47OoM6iFeXtadGTWZur5aeEhvTb+zW2MdBFKQ+MkM5lscx+bUpZoo5If5pBuJcqiDlQqV7fNx
3TcFxHFTWUzKPoUDn5rx0lXzE3fpfI88lWdIFkgPq+96vl0xPH2uoMg/L5HfO4bfmNnn55ak9jQ1
w3TGfUKMCn1IsBq3pS/HakWT2rpIlf3BcGy/m2uBVqf2CMRyZke6Ta2qua8KYVpigEgEc6HbDnvc
gHU97xhIr2X2mZg9jYXfKblNqsFrxVG6fOZaVF8YXQHzoUq+BTrLm6Ra6V1W1eK00TsrNih0C1Zu
5V7ZzGdqoJTleE1yPExARTn9YiAsjo1w/aVpawsgHrRKq8Eoka672jVTCVC5ii1bnnYxyUkCwToF
eu4y+j45z+62kVymZKuvtURtPg3yOK9xKUDRAEtADxvAd04TAkvQhONca9MCboqYA8PKFKb9fmoX
B/AcZXrvm5upq50iY00K13fdQ22MvmVzGM+iM02+cDw/mX6oS6iq+ycz+0XFODEVOVSRiXh5iJ35
CoR1/Nj66W7osH/mu+bnLm26w5IAUyCD4LnY5+VA0727hNVYVUeXHIAFkWsa1uqIm1rmYo0fG1cB
A0BApYC7iXNLGwvQzdxjNRl+TlNjDm2622MN1OKEm6V/HraRnWMbSqCfRiUzaW66aXFXlLkm32Ro
bhsJ+NE1kh099nuxI1AUmHZTVIm2wGH82H+dhnkiKomjL6c+y4DN1aCAquy23+pJ9XY4hl6/rJS8
ICzvEgLULyTtpBaAoUUaSExpfPhYVWQ8bziwfMjIezqt6C7UTWVUN0soV3xcThgt4lwPc1VCvHdX
3nXoi273PDBYeS38MbG1v0Kje7VNMh63lA7HdmuqE06xeE3XOao2iCHvu3Q62XbvcwiWDjgh3yBQ
zLNvpi+GWHYOLOhbvaW62OrKHyNNyZF4sxxdmujcDDs/rGHMlz2dYedjGx6yqfOfAkrRgXkeyp6s
saxi9W7bRCrsw/eWIxOVyGy48iMgeLZk+4G31XyExfcXjhKUVyzapzGpH/sApLSlCboOq0PlaCSA
yWo2+Kg/h2oRN0Mqtq2YM/EaE+0PkSdbbtuZ5IZn+jjOVB7bIQzHLHZ1iWATpynl7ozqlOUW5Kma
Ep3cLnJojwTqY6v0avkDt5lVPrP9cRbM3TSWN7lGHciz3m5PlVzTw2ydyPslnQ4tneOxSgbgwhJp
qjKWznlK2qc19HBmPNEnytJdBVIPamkbyCox1Yru01COK0MKVdFdVaN2x5ls7Tli+UWsFF35+IO2
Eqtf+iEsL/Uahq8hZnOjrF5jbqjODmJ0IGC8a2blegj0Ds30K2VxHw6s9nWrAG2zVUltd5HHfm3O
om1xOUKNVu282bICVVEkSe8KLDp8rcm+K0GlPOKlXoq05UyZZExObQaMohMN69QC8aEiWRBVwEvx
0bGYHdpubHOcjMORuRQdDZvH8zTuOCeEPjsn3pZ54yXbJVG1/gIs6APaW4jNyiUFIs0l2zp+2V3L
8oyi6j62/qT7HudVEvllDiCCoHBLYGotSM9hWO95L/pjhVtfZgvIFu2qXknW3m16PIDgsYX04TYd
0Xzeap+cx7a7Niv5qiFojZJzB4q8CfjbQji/dUs8SpO8VQlxj/20hjwZ/FCKaRuOYxruk9WcXJ88
sGqFQqAHk8emvevp7FVc0ayiraKa+oNt7aOX5KEzGQeN9eMsoxD9ApHf8QJK7sVkrJASs++826+Q
AMYcGQBJTu04lLqiBHQCMNhBhaGtH2YnyY+osseNI3vFRW2AZw9XCQEET+2Mr5c+slL4KhSoWS9c
aF/upoPi5rH9SBuEDlCzJIQd+lzJ8ENYdrys5gVY0x5v92F58Mn0zcv01lveKkHW5s5sNarVFkN3
gP3eba5Pv2bITasaMCCeblxQdYXGA6Xzdy0zrmov361mh3Zyoc6xGz/ZQRvlPO2Vh5yAfG3FFd0T
kIrN+EUQhH5UCTiSCTyFoSPkcei0zqE2uqtG1qV0+k5S2RZJMKfd+u8AWi9S07vdsy/BrUlhqqy6
WzlLboSENcNqmcp02g/KUli9tNMTdtWB7bA8nPhbzw24O7WNaiPjJQbnP5F0KVzTkvfQMJs7Iq+3
QeiCTsScuq0bFJuHRjENBYo3uC5cFmKp9y4UgM53GQsPHPkl3/chvd6ERQWFknJsCVd+XmSxco4A
I2sEtAUUqmveE1D1OeUeQaLUTxWNp8qhqURjd9Js+jS67lur1+w2WdEnW4czQlkoGUiR92QDmsm6
DBeBIQiRKNurXoruDqTtjVjJXq77vB2a3rhimDNW7qCAv4K3tJ4qs2xFQqUuhJY8N8hX+d50R0Fn
lA/M+kvk09nprTuZUdf3lLpOVZWsoT4z9JwNXZfXrrZlI/rxzm/2NvHtAZR39zQR9mVcmuVjTcet
SHUzl8OMcL71S5PPoknPG5rrq22ruqMnJlyRJVyFhWRgrq1g/uRLk+mTZduFA9vIpxWgDfhJ3gPG
FfXU3XHw665l04giipmd6pnxd8nt9pF1XN6NYI7d6XqeC4LYAtg8TpeqGpYcQQ6WTmfDedXoGxBx
gOt0qwrfWHzTjb28mwKubhrW1ueqBUpKNrYfl8l4oE1uKIF5HrAT8wmP1XKQQDRLnG6ZAgdcfqUD
WZQOjKlNxuZILBQssU31kYpx/CYJForTOijeAZchfQsO1RgTZUhP7teEQUkW5mgXdDcbADXeA11e
wrC/62UEV3HnZ2sIhB4hmch1BKT1oOpu6z40pyp1/dvkN7VlzWGezfVAgcc2AP+PttpB7+Ax+4wy
DFK3Hr80DqNySseyQWJQjaxqrbo03mrcUjUgacp2RVYF8E/PeNn4mrMMQmXrmv0z3yk9MQZ23rbK
KV8RqBqMuSxCxPaYzZs575M5SVE1qrFxVcQBYbG0eRvDp5aa53R06JpbWt/vI9qPXvJREVj+ITUL
/76MzXMld5C6FdoKwtv96HC/XjcyM7cNqtFj1dWhaPf1g0R4+YD8iAo+h3OwjBeSVvMp+iU+bVzK
5zobdNmlvL2QxqU3cYAcT1DS3LOtXZ8S45Hy2JByR8k9swCjtOJD4Xat1bbP4cgNf5SwZ5NKqUCx
IjC213Bgjf8qoWIqK7rnFqytAwa/s2jlQC4h3LoWTW9k7xuQn6YtRg4W1cL6z/W6ZRewOkDuOr+/
BD/ZvKZGZRmW4CN6cDvMap/a2Xmos8TcdTz7ONAy6fYxT9q6+Ug3IQ6M79WRkPHWutRe+JSJTqXy
ltThYRnOcqof00WueT3XKUgjmR3FlD71Ld1UrEEUBN9lwJwzki9jfcq6+ELT7tHFgao5SfGr7rcv
Mm42Nwnky7hWJ8sluZAAzr1dejA8WHcgHiB/4RmIImrmZw3efatkIrrcrDOQ3BpYP878rZYJlN6G
uotM6uRTV7ePkwUly/jQ5D7tw6Fq+XqSiYOnZ2ty1VuwiJdhb4qNNyMcyHiruSFPSw+GsYTsL5tG
P4jZHq2PTM0dGIlAdNNid6s9R47fcBaf9oksJTGTvR+l1ZesFWCPMWlzXRnyBo5k2BXb2Gfs4kNL
pkWxxX+IzG2lSJy9xVO1vKUk9orWBJTLQl3R1xnLw8g2ojjRCVj9tL6ASIYqislQLqOOh62ZUL54
6gs/EPzdZ0DetEgCeB5jll27EUB2Ar/vscHyhmSLuSDDHrZlyPJKRqcY8ncVDbdxYQ+c06e4TevR
ZO4+He1cNJzIM8VsggXQ5aPbKw0kC8jLDw94y+nYCWjLyJeuSWSBpH3jnEN7Raw2r3Ty2EfrDtmS
2qtRa3GXNBgY9g6eOm7H5GuSjNnF43p9aeM+5XqHBgerT0JbDUSS6pfJgeWaZp07VZu1amM9uAI7
WZPjtrv3FHteNqnIcu0rXXRbdgOnNBUWHOVyziKoOmSLsA7pjSHrdqjxKMHd2MiRp/0F3CFcTjN7
nII8bou8H7K6ViZ2Bao6q9huu1vo24zg5TXhftd7W6ZTaHKmJSlahhZlpnCz4uksolgKq4H3u71u
i2obXqxnt2z012xpvtciQ2fOxkbNa3iZp/jY9/3bNs+9mqumLwVFp3qk8rl3rGx015Ri7/AHPdn+
gIfsSWeyVYOAJhGQx2/tHEm+x24vloz6HHTLdZuhujBQ9fNZzvbRjkCgnK7BZqcyn3dwHgntM+CJ
eD2k1aSBMOtTWmXbMYVa99H2Y1vEZqtL0sRaMdknj6iXWAlQEqfgnDzUaSJ0Dim5HTYaX8JggZHi
vVYdk+ONrIfskGC3bAr2Cr0eD9bKymp8NesNYMpFekEZv6ukO/vGYDB6x65SQ+VvejwNRRj4c7MD
aO0discZcuaMppbfxwanV15sw/UIGfcSMrEcxrCZHBBFKxczUVR1fJCzZFezQRwUb9cdVj67PMYl
+yFGU2gPuvjZydQ9tJEg6P9ktFXgerXHKrC2By7kVjiM9bHhgC5j6KPiUU83417Z3APjejTWhGu5
dY8RA6ZPckCKJA6SMYaPLIMA0d6uX0GIxKuYrdNF4+F56uZNtQPOlPX7flh7J3rwpOoI+nIlpzo2
0OfI9qbsoQNwie0E4N8b6IBisQBPtVhBUwJq3NxaccbgwDymNrJreMh8drxfQTD19LT2cSqoHdry
hxczJNt44Wv1tsv9EW/w1wF285B1PH7und0vAdXD7dI14oDH6eskAj4uic+uZ5qGx3WR7cvsO6hr
I26OvZgfKgLNwWi7JxDRuOx3kn5uTf/Bi+aYdgM0IALSaVA9Gs+gIsETYw52DSqqAlTxVX+cUIjX
JCb7Y2unROQplgZOt4d4FwKc4mx9wk04Ay2MBXL2zaHhaYFqc6pBXud+pBSwY87OCRhVB8nQR7yD
kgtC63IUY5NbNt/CO+H5MuDmnJEQcz+1Jsk3MidnEid7vdB0fMp4Bf5MurYRPPV2vAAUydt1X8OH
ZgY1POJ9K0zCbU78NhVobFBRUWZ1/h+UUHD1dBdUgzuQSuAeig9dGozaTMPOm9cxH9b2kxvBLqEk
dC/pAN2lXKdbvIbuIpBpFCEVaY+Boy7gouZDWl+33byqFO1JnrnuXG1yKIZsh34cjdn1nmXkBu3z
PelEe4Ge/M2Ikh7g29CyNQErnYGNHXv5ra6kV+3SuQc6AN03zcjyvw4Z/Pq3mYc/dOvfHBjiRte/
DT38/eN/PrsOfv7842/+8Z8/pib+8enmf49b/MtvHd/dj2GG8M9f+sOdYXTgt9X9mMj4w4f/Np7x
+2mJ/9eLf5jOeHOxB376+K6N638/TSHpvxrGOPjX/u39n7//t2GL7BdGs4xCA47BwAXKCAwz/G3Y
ImG/YCLkj+48YkJyTMjfpy0Y/gXBHAbLEMMMEy7Sf0xb4F8Ik4JLygkmVHD+/zNtAVMbvxu1YFRQ
KgUiHIxZBJ/kP41atCOrfDVAx57X49qeVtzsL7Rl2aX3HVSSFppzfwuhP0TQ7+c7/tsToZOaYsLS
VHAERyP+ONwBLtUwBRdmsK99n5OaCfCvlwWj3K3egy2Umv3hd2/jt6D9/SMxvK0/7pJRJjFl8Cp+
/Ag46N8PlLiRGVchSPcV/AWYAZk3qDdgyjZE7SkYT6seRMkFr5rSGqs/ReoSqjZNv6/E26/LkEIN
gVmK9WMGpE4e/vXyfuz4H+MucOoswxgGcVJGKRFE4j+ujrjIoQoTSF0HQwRq7gPfigrGCe4YdolR
uwW13gMxjMW/fjD+se8/PJmnQAwppjDrgzKYefjjk03kogHzyaltZonLHZLkqC3ZvRpcHdHZOBSD
Mjz1d1EPHl+NJmbQQaDQk8i9HsGR2cZo7CPD7ZSof7O6P44BwblwWBYsDkaS0gyyA3Lg928N5kRc
t3DngBm4NVUJwfzeg5cOGrxtjPJjZ8Qp8YnsCwbChR9TUbvvDoasUN52SfgS2WQeuti3yU0djE6A
zifZ8G+XmcG81O+O8cfkFknBMhZcYMkI4uiPC+0kmLkrg8NoWMXORle+hN00V21r0Ukg/83ZZi8x
zfxLrRf6dewb7RWFJu6dl7293hrNPvPphwzD/RweklX8mBGwbaqi9CM/j7Nmn/4XO2e2pDeObecX
Mk9wAknckvznnEcpbxg5SAQJcAIx8on8Hn4xr1Tb3V0dJ07bEb70TUVUSapf+ZPY2Hutb+0EOier
545Fvl4Nid61pF5VvTWiomAe2GFpqWC1KwBQ3FlPhbtPaRd9bM2Upcc5hs4tylnLkd9tfTy2ZUCn
JLnv4XbGOwxTybeIORV9XMYdm+hSqlYC9BFRtPV3LLOdO7T5iIkSHEi6wq7MC5g58MZz9ZhLMkd4
UK74yIPvNlt2S7CetAjU3ngy4PKHWMWrBvc+hLAox1hHerxzwQbL5yT1vMa33oyNP21Znjcl9Lxg
RbdEXF9luQkkCr51723OsqHcRorDkLEo7a58RzZbJhvnOxQc/B+32WMiNBCa57KBPXsvV9/WQmFk
rGANd9fplqdoNbsVnnkM+yyE2iPiFtNt1tqqnTjnsPhSfJUK881yWNDFob/cYozEg+l6d/BBGH60
GYHrQWHVsLpFt1cJMUuNKa5dznPTRulebSMTT2ZV66WArBRA5mS9v9VhQvoSKqR4ifJ0LWq4VsWX
8FuOGVAmrBoi7RzMrC3/CL1cRZnPfSHgvArIyqlCnd6akFxgPLmhFAG8gjIs1u8WeirCzwKyOt/3
lDbXRVuk+8zPHspKaxJM8WSERjLRDSODVWbnfKtP0D1bvIOxxtyo3Ah4BX3/PZTw4qubrA3Q20Ay
3NYxK9chiu7BDSp5bnoY2WXUE+qedGqAa8gEbup+YAUsOToud6R1I8znWI2vASqLOTZABB5BDU3u
RAIDr6QfWntfQI/xmIVaHkGHph3ZjdJMp4XM8wH+U3RORPE+DMHgyiyY+Pum0iD+nLNG7teQ91++
J2Qpg4yjVMnEu2hH9LjsumHUgLKyi53V9hUJHZaLhjOZdLH5hAfQX4eyD59yBRKgSmg84u+wOXVU
VgIwaMhwagHcvRKpkzpRGHNFFw315FJWsVVNe6IMfn7vYhg6omiBz7BlKHkwmT3lbACVBLW4r6CA
RXs3qIaVa9Gjjts1+tzaAjia6pr4NRpZQ8qIjzapJtPLI3A1rcsG9wRs/PxXptr+KehT+nsJMPhX
Cn+eVusq0KTNYRKVSZF350jCgfUc0GM6Qggg2zoD1wm8KBc19q98CnndycK00Ahi0B4RHndczuBG
wl3YUgJabEX92qzfzrnX5DHdevLROT/eShe7Klvgc7d6zE9Lp6Yr8A1ZAI2OTJeZxKgq05IlBgMN
7xW06JHI/X/GKukIxsh/RSh5FhiKDhZ0kpNQ7g//wJFCDlcj6ov0wltM3a5fA3btVaDp5Q9oFBkR
wehQLqvWOJS7GUAoZlyIGX/4Ik6DHLfa/yu2qPMd7cr/I64oXARRV/+AiXo2xXP5D5AIN7/4KCAv
/Q0fgojVNPcq2iyrE1pI8zdCaAgTKo/BpvW9TzIWVn+4IGKgBVyMGtnuDwwEEAuGQGjhW8KUQS1j
cD/xFm9v/0QEbRQuTJm2U1pgBp6G4H7Amz6fOjid9IgLOWhOBkdhqO0K1m3BG4uzzdObf+F9+owF
1R/WJ4APe3aC3P2F84F956Hx/XvGR4IvS7furgtUeiJyXW7TBCpQKdZCl4luUVNZ9Cjm7FpFYbdf
O1MSJ+zZAXspCU+GasnHpEwbG/2N64Gf4fZLTLL9H67H+DWqKXDB079wPWnQLoc/TA/PrPow6eIu
Bh8BG/vvBE9aJMvL1MsmrFUYHJnHmLiHgJ9BEkrU2J3/xuZIQecLBArDYSgJkIpTrAX4Rf3eL9s+
cmPYXWcDB8UAayXc552VYgURwZv2PSBO66poiuARmGO7R31m7amD1IZWKxkEOTZNGxbXmMhJ8c2h
rU+wZcbXuJ8jfMN82Nlt0c3DuCRbnbZJA6+BtXMFpb1pz8O4xuh1FbkyS7Ptc9W59YBWw1ZUQpSp
ks66Gw6nA+AP1VZeJX52u86E21xlSdibmi5mWXeA6GE4FBCylmxB++6TdAZ/NA0ZqwBaefjEatse
+gbfOcogSSLAkQP5ueic0V08MFZ9S+0R9Pg2BiaHPuoZZ3a56n3obTUGRe5gTI1Z3cPbuttQgPZ9
EvhxZ1bQokWrYDU2Rb7zMooLEBeepOUydf1Tjt6elsoOa4pJf8jiQ2GD9D4PuqYSPeW/56gNnhc9
d3rHRTeeVtZCMthSLiue52tFWx4/uywpfrA4HfR5meg8Vr3q0umkuqTBzWG8PbBwAnk6mrF2pqX1
2C3ydhqGkR1xm4jbIqDup4YS8pCCCzz7ISzuDX75OiHRqyn69QwBLb6evg3z2NsBSnisojeCMfBC
s4we20ZEv/s1yZ9bLVegW43+xDdLfqqoCS94cHhj8OM1sh5kHKiqE0S+ZssU8TJzW7LzgRa1H+UH
OD+32zDLVTzR83GNOTwZPg+uxtlHFyAAz9ijbkX0NnMFt1lyeo6WCTZMYfD35DYZx29uAOYOh3+/
TczheTsYuMNqDuAMOeTxyQCrnrvXPkfnt4FXP4dDu4CWnh2epKaJ36cBgdfhIFhdmSy5dHDgQETJ
rGy2DP8AJvLhQ91XxQxgTjf61CR9e0iLzZMdape9maLkYr2YHrQgdqt8m5iTdQ56TzAXd5ao6ImD
yr0MKlpufD77Oz8PqcLINMLyt9O4a6IM82XoToE3/A2jKatWaG73FLfGoQgLoG/5kG638E5UCWzG
lguBnIcbjSxfY5w2V0NkoouUwfqcYFY/9j4F1kUVu47t1N4tIb+0/Xqbb814NXsdxjUGgDMU99PY
S/4jayb7TkBQPGs0OwcBeiPk3QFNnC9DNq0H0CNLWcBMuIKXsFZzCHGJRVkMUS7S1xuSCTXZ4h4X
mrB7kHFkLyRVMM0CDIzLMD8BdMDsXCQw4Uc/V3HxLVt3HGIelNJczNGOtkrfwH8YwToNDKy9kJVa
4CZFiVtvE86bk80g9Sba+otfZ3WejQ2e0HJFQA/H4GIsg7hL8bjx3BfZ1wtjee1lGr8AZxCHIpm3
ix1HW8Pu/2AzG9CH6GVn6WB2A+/MgTfJryWVE91rvg27rkmbyxJsfcnYSsuR+fg2GPz0FLF1vB7G
MHO4obp85xjc8NkHADM1h9eZM3WBC56ByPb+yPOAQOfU/jKk4/rENv6b2mL9GizldWscnUoWt0WZ
dzHkeW2bw9z2cG1CUDVVwEZaZzBwBzZ8gfNo9ui9x0uabRMKM0A6BYrhjScNHNIZFh468fUmdySA
HgvCYENOo2JJL+GRovNoNkzqJuvxiDt+WFO+3etCxU95yvqjWwzgC1hdaEHGhV7rHt7PqCWQqH7B
e5DIfh+i7n5SdIa/cinAZRiAy2HTxKdhbYLrtMj4wa9p8UzTbwtZKWEvgZj1jhnxUmzg3jgB+wIU
sasMjeVrNKkaMHZ/VhMtkP1IMoxWkcHVL5ZwwOBi26tAGvLdFYe7DvziVTNn0d6q9hHPxJUs6RII
6s2619S+FA0ZK+/hbzkf3q1ptO2SAJd0NI1+L4b8AO54/La7hrlaZrwiJpt8HcYA1orBm/1ogdpx
jjEmwt3y1HVdcgyAaZ8K9BcY6MbkU2ThsB80eFY1E4+7gLJXRGnuRNtt+yAufoEejc942tGuwNVy
ol13oLP2O7moGy+cvaAWYHSzwfAIFhwQYPptbsYx7lLXXcWaeF8i0VAMVUOhN9NF+IOB11aGFNd7
i+N9hPTVwEKLfw65ZQea0eQVAjm9Xjy8fzIhIkPGTe9zq1FHOP1YafEYmzmq5qaX1TxHuooieFxZ
7I8BDlA52hR8Pi/6r1EI+2qHAl+Ba507FVaWid/GO9ELMAw25/kjvKJ5b1Q+wHUYQjQ1hDVHsoFK
JGzbr2kCPKQj2pe4wIbdYmZRbYiT6VPhMpeWA7jFqeTK4BEuG+zPNMfUlC4YEYBYofkIxfjRqOlV
OFd8LQAHLviDw22+asDbzaLJddrO/QhgRqY/Wj2lZ7gn5iaAL/TOg0jeWaSAVpgkfjmGhLync5ip
KivkfG1gFr6DbZnvsj7sz0sapNcwV5O7dB3SKpwwXiDXEt5joCTnpuDjYR71fE6iFAB7G7DoNEqh
z8FY2GuQDu4eTIe8WTqKfx3sBPMuSB7V4AJIG6l9k6mJPgarYM8FSssDGb/DGnzl/kj5yJNyheJ1
ArC84h+YBNZksTtgv9nznG/hVxOk244CsPtK8IYfLCncXuYT0NaVReIyNONakUDPBycwBO1owxdU
hTSN4Adk+R9AxHVLKdchec7jxIIinAiazk1RmKIi6qocIZNfJli1AmS5LPcwyfqXZMMn1f1s9H2T
B/7sZA4hlHP52SD7cORRlPyYJjud25F8BZ0YQe9SeGtZkj+hbX8UhnRXC+hgoOXJdm+RkHplGRB1
Njt9DMOQfXBgSb9mEP7QBTK0WVIdJhGuZzNs9ErJET2S4vNTYZbiPszluOvx0hwpUKza9hxu7tyb
CkZSfJg8HNvYjvfOz6wGtHevpzj6FIAbq2SY7DU39icihgLIXBSqEFRwMIPEArhzQEWS1cQn2K+Y
kghDjgEmPnDf+YeTZKntxINLmyEO8v2Fz6UOAaJHa15nIhiXsuv77JyMzialGwYIOehi031TCLzv
yum2oklaINiECNfDLDznRwMaPdhv0rnDHPvsV26zbbdEtr+eW+D2SeOmT6ZcakRpYoSd7tshhzs1
Qda4hatGwKqSxUaVk2F0jrRc0J3rLS52MPNsugOU4tjLAvUJsFw2hx8RnTO/b4TVbxSNF5JEcqGH
RmnE/ni+xZcMgvS94RLyEsxCaGc+TQMal+0cp1lb5r7n3TGRecv2UPDQHQ8ehuqFLKaxVSy5L450
bKhCdgyCy9Uct5DSpqAxcRktJO5rCeK/7lWBKSuyoj3g5vPwCi3VdyinI39flO0gc/Os68Hl5pT8
sAyj0A3jRmS/ocDxGYyHN8ojF9MrFM8yEKlu9smAlrvkmZyj2zQTDcJk2qz9vkfX8mWiZHiKMRAg
ciH0A4KirrnkqRUvQGvFC6anBdB3OKRvm0SKD5GRgmw3oZniDtQlKGtCbHqjccownvcxYfXiWDfs
PKbW63bybj0N0BI9lItmvZNx04znPNZqAUAadyDFxuEKsHIA0L5g3+3mJNx4GAsGbDcw7T0jTS5K
lATe49XqHDDicRa/qYbmWkcRychzRHMlDkhGoKazKBZi18YzlMO4iNSyW621DbjbNJluotAh8MJz
0HnlBmGSH5MF4FQp4xi/f9w2PNd1oPBPtnVxd2YzON5Zm6XmgXWxim/duuK352g7x4pDyntqZrye
+8iEfitnu1q545uKVLWB5TBV3kjIeMxINBOjB45ogihDvqH9zm/1ceCus37Nt6qNcv0Kw8MeDRh7
8pBNAazlhgRLlRBQPLg3cKweyZgU1+jK2XXbwoCoEu0GcIIdrKdqxQsB/g/dZ171LbfIaum038qo
4EAChe2hohs6jE25RXzTtXCqmyuFDqymU2fz+y3p0hxgTQNqPTHfUNgI9OyuJW2AbwawWzlkGx+r
DEDKirICub/E3eKeepbm6JK378xaBupWVSbtXHbaRtuouokH1Aw3zV8sldFQaQzcP61s2N2aJOOX
yoV+yWCdQgOf19sUGSMEf8GFdEA0XAPKDpHWg04aAkAsa6L1xETmitMkJXRaJtPJlsaS9Wpd4Koz
tFV3cQy+rtJmFC8J+vdXj5zCDZ2+0YV5mWmCC3UizyT0IQgA6vJvIoDlCOdZYA5QynFLu7HIymLO
zfDaqRHB3mJY8+63oQaSfcRyzY+rTdHyQ38ehz2CWSu9AndHDpRI0LRd0Xi3x988eTfAIxWIgqbA
G+9Jt9Mux9uXIMVylkhx/Yi3ST4VbaJuIsnbA3QGvDJhkeVFrdA/tkelyMYvm+dA9yZwrkU9Je0g
6i4dcJT7bUjiw+BAm4kAINgdWfIhuXgxCqRdMxKLUxB3o64Cs+S4uJvWIU4CNd5XDJ73xY0rpPrC
Byhsiq+iEl6Rs+5UMpzDDF3iDrMaXm7bo9+vM6LDN8DWaDu7cLCPqWJjAl5T41SEGNxx5vQQnPxq
UOqtyNFS+AZf5dQxZEswgme7lWXw12nj5HDc5MBv1kLR+DaBgRpDkIjQWs0+G0QV5Cl+BIlTaZCf
DjAGxn/e97Bo2S/H+zjbAaUab2L8kEk9G7icxRpNbeW0nN4Ql03WcrFZhLTrqsQj9NzivVsUf/Px
wtyhnxPxEqPpnHFYefKyhdACShB4IcT1fACTA0D0tsDx6zES5O418ny19UohrpzCzo4YrNcAf8N8
ALa+Y5NAxqRvkcwt46QNb1I5ko/GQHge1IIDCuoEj44hicsOuSWzKDuDthufSIegTtJmhNLtk3nP
iwnda78EwxU8TESZaZqmNyld8KNpEYYgR2UAf7MJsh3CVG1Sd8scMLzxUaNOYRyv9jBGU+IOISgn
3BiSwV0xo0nFbrLCr9VgZjvtBH4cW6JwiXynh3i5RYoENQ+XsK6hc7hmjwFnGK90b+3Vmm4F5sRc
5duPLB2mT3AcZK1xjcf+QjAfufuVjS3a08HGC1JWm7e1LKbl2SIKP1ULIov86IO+QGLv28XyQzQM
p3Dr0gRoDIs+ptXSG9MX0u9XFxcjpndEb8Gezu0j700cH7+L5y7DYcsROdL0Bfhh3mEeLdQD7aCb
nAppx2nX0fbXSuOuSqYWPd3UpfTEDOSiclOFeiGk2VwtkdvdkMYfkFeeFlx15bik9qpZYjrv53Wk
BxIAYS0VVP7xaNYYNwPLRDuViAlcNVE8NhdeAL750vnK/F1P1dKC+lY4vGRwm7oKnVlwAiGUxJeV
5/12nBDdl9/zcyJOhCLGXy8ymJEmlYP8LaegVbDPAv4yJ0voL9bxuPkZb8ikUcAtjTglayTVe4hM
wvYSN9/dQRHZvNgRjkDKroBGsTymDUgv3IJghiJFdZVNBUuR8Uq6esxW6D4GcBbD2I9s3IniW8J4
aWcQStWQ46b4SDfWIUbgrBz0HVT5fr3HUoP4edPbhKzkQhO3D6e1RfpkIZrcasRR0c21XV2Y8MKR
On/Q7cj3EtLgK0KR22fbhc012aYI4y8hFzAq2yuSTh067HV9yNttOs6+IADfM7g5KiuOHO3S7RJ3
sgZtg4zy2Gz5FZo5fFI8h1gk0JD8MU0y9cmHvMXrQ7v8EDK23MHHFr+iWZrf69a6DqcKGPYmzPLQ
9XNPL1YPxSWbl0zWAbe2qxDjpJVtG/+K4F13XPsZCDNFNJ+zLX9zKW1+rmFOnwO0vnWu8CrkYJ3r
PmjJr6EbCsRvkjy+NqA0Tzk2JdyyNCEAnMAuxGfb+EiUYpolNhH06ohiQI4Yq+RcQiqZPmY2Zyjg
2gZu78MEdLZe2HuypT0ijw4KQGHpBVymOxPQG1UWBfTsGeDFFvGGG3DI8S7zShWVG7aG16kjaYB8
XhMdBsG2RwbmKYSPhdgyGDYIXMWWOuSvVPceq+/cRE4RX8m7OahzJtBU5mzVn8DlBXRDWFEwvU1/
pdI4ixGKwmsIW7obKTLVVu4NXSjfTfnAbjforch3zCusVdJ6AK7RbJARXJrhcSOC/YaXjWIXGUxs
bAjDvoKkPCeVHAATgygGKutTnu7Q145nq+ZkrRfesXIResJjxWKE3nTNyVMLgLsoNGjxCDHzRcur
eNvaUzQJmGNR84r83Yi7hzRBX+XRBNxy66189Tb6XXRpfzNr85yTyOMqnPjOQ9G6gn/qb92MRQxV
gJUSD5OypM7lNzgL1RM4MSjCs3KAJLIk0E/Mp8W7F3a6ioBY3EFMxYu/2WXch0SGtSML3g3adlgE
0IB7QTRF0Bb9VdycRB6mSdWYwO7zbM6mmg7hwj6GZA3OMN6qwshZVkHfyQPb7KrARwS6TgvbZwA6
0UtyRx5DVwxXIEkmEOch4nmop+kxxncGtxqD/l2KhSoIlhM7XW/NTE8YkMULHIehVlzHENlGBp++
KbqkSi3il/2opzfXGdxi1rPp2c5FftNtvf9J5yXeYXuMLnsI9K9jFGDVSKNwpXaThGCR8LBje20h
ZJVyEBcS4Cb3Y5y1+zaMJcLg8+8gjw1S2N/w4jciVP03ZiOPRw2IfwsodFGdqniHrz33FekQxNBt
M5178OqnFbtOKlEgJftfQyh/ZXOAdhRJnGEeAJEQY+1C8k0z/dMqGol6GSIaiprbfzOqRZKQy9Zo
82kRmbsLwiG/7YEzs39D5vwVkvrzsQQ8CdAvZC2znPzLx45g8MnmEa+WY4DlLoPwaVMLaN7f8fMC
wwEC9MW/+cwo/MZ9/oED4VNpEWZFnOfwdcI8pf8C3Mg1A9kp4D4rk36rmf0UwocKUbxKEERK7pmz
+sk1CiZuhJ4aMETRH2H6Y+IzPNvUjiEH9uHFSg0GqC7E8JqDt34lsSLBKQugmIP9p/1EPmA3o4ee
Sdr/HrjwPczvApQKCUf0B76P1GdOJ1hAyJxThPQmrCI5EjGN9z1kjaBaxJbcmGjWzwWmXFsNCm3t
/SSzCBhQqGcFpnYweqd6i7A5t02+1JEisOd6DEbLB/XpN0ESzEB+kTeHUJzSMHqinYaDimU/wSls
PA/gKlkE2PPMbCeSjNmDS3qBo4VZ4cM6i7uOuQIaLFqrfRKguayWNk3Sum8DrGqA/ofdD+CcwqyW
LIzIqegQOKr9OvpTJkLMbI4QqB+AfOZzxLMFvgnm61cslFrGeiZT8GsYkboFtezy/ADHqvuZiTEm
h643hdqlTeQ/ReG6sAqk0wsik24Nd71xAAMWtmW1mqFEY9CckBIPoI4FVdgnejmJQc3I3VMO4Zjm
Ul7oxnHNFJvtBQgiCeClzZGhr+eZSsxjQTcegL0CmJuyJBl2oKM1Ip2WCcgCEaco38BmkDkSWp7T
SIR0vzi/nWbqQ3f4cyb/P4T6n6wIwxH89Wd92PdmLMTBM1Bi/1TBvpnYv+wFq39pFzz+j/9u5F/X
gf39j/6NSg3/I47DNKS0oAkOEAVL+ncsNfwPCgApwq+BS0Wm/k/1+d9bwLA7DCUR2wBApmInU4oS
sv6vLWDkPyCHZyGUJJSOME7S/xsuFcLmX0vvN/73XYUi/MRw5QCp/ksNnFdQNbDbwdRAbf9EXvBm
DUg1kRbCCxL0sYAXsAR7trVfEmtADtKy55bGGgHLtKJk3scmPoP4aJFxBfff5y8d6e8J1/WUkrxS
zfDgMdyUQoSQzSJYjr7tP3XGHlprrreFn1BN3C6S8dHiGi513/1IwCSBxnyY5hXED3KdCEKX/UI9
qtqbwqdXOkUwRa5YOeHI9NSr7CYo+IlnGcA0zqZaN+amd+7YTd1bX7hHrIC6mVrsS1pgLx2QMjCl
k8i3NLG5hzKL+ruhjYUD+F5k7nMTyYUH9iEffOWX7auI+/iAZuRXS9Mjyxy9AztuDp7FZw1k/NI7
5IdWJH6WXl9JgnBEk841icx9PGl49WLXcVtJ1VTpFp2zcX7HJfPiuq044Gzf5JHEdiKSA7Raju0W
NDjfQTUBZqQs/VGMaC0VKPimc7XOOHJsGx/qYMbagxEOI3VvofTHDKEEFuQANJb2ezHbjW3Zsbew
8zFW//JBd2MSuOGMRgQtnfqAT0EO7UK/oPHuTJwrXCXqImN1HVoKGqZ4XyN2p2lz4BoLTtL2vVcj
JqEUM0mjyQNEKIIhDi0fb4tXTPEV0c0uxvajeuTrlcMWoRLAtofSResenV2lOp8jRT59hEikNHyG
MWMN1mvxCUQ/0r6u0VcBHKO6o0ud9BkpVRwffPu9IiI4Y2kZim24fonQPiF/09QOPVWzYmoCMfaj
Cbe3qZg+Rtk/rD3KMM2G97xRP3znI1gDYXhZmmC3SqQ+HTLLnFiEEJ3cWXhzBmHQY9RSiolsyWBe
IY4Y47SA9EMphxqiyo6tP7B2roywiQ8SIN0AwYGiHgxc4CJGvi5dK9+pvM5DNA8yaI5IYCCvEBZR
PQsjkRgUXYWDWC/NikkwVRTRqeLQUrxjPbT8ncVLBCGHH4yPJZZE6IcB8QksltrebMh6LP0Q+wW7
vAIkNWQSfm3QNYKE4aCIHRJxEPehoQSIgaVo/7HTDxOYEd+rDAYMS4G+2FbsASFjKZJGolRetRYx
vp5DuFfnLlteIu+OWZqcAstUxdfsivaiR0MZ/HbW3Fu6XoAfPi8rB8ZCv2TXncjcIFKGZS51i2a7
7PIcAWRsBKhZ4ttT0vZflOiPkDfAAxABy4GUIkBzbDJyio3Ld7YB7dFsz7jlbmZo2XWOAZAy2LL9
GB/HYju0atT4YnLsvvHiE3Z4hBLiHiBgXXeqP8GvqaB4vwac1EnTILELqxt22gmCAEd/P77+2WuX
FdkbZQhkh/36TLx57Rp70Zk/NNh0WQJo2+oxRMvE2nU+QtSHlrBdr/SrwNFnWQexV6/twW42vaR9
8CCm5Awg87BFm6yGiYF9RjYHsinoDwZN26FFwYI48u62DXuZ4qXMc4sBMzGYk/0zKE8DTQ8+qu/t
2Sj7wLYPALIfCfa14b+nEFMGDPLw6fcp5VebK6Cfm+AtWZDbHDk2f8ALujiMJcixnTEdJnC6szdp
wO2mjh0TOnlMNBP0uvxNRMGN8Do+aiz7A1Flgh1eL3YwbHj3Od8XwoyXL+h7HyEbHnoRvgqSv68u
/YXoDZi3pFYDcbU1BSrz6rAnLPjSSn12ur+SIUJxrOPv8s/woH32VCABjg4LkGeMXRczIveoZeS2
QKtbSQaSMwwCcFPO/Ax7IOcrTsG2jAigahj+8TxfsJ0G+/2wK4oCf6+MbyH0a4I1IgbvAFVtrcSC
Gj+4tCJ8elwdSMQk0R95xG7Q/ULKn8Nf8R+xsNmReNwjEf+yZOltnPOXEXGuCloQVL8U7prvsZCR
zwgTtYKdtwaHBePXCR091pg0M+JDY1c2XQvjHFsDwnULf3LwvYhAMyTttthg4Vdcg8Mk39GnK5kR
xMl8cGi1+J/sncmS40aWRX+lfwAyuGNybElwDDIGxhwbWGRGBOZ5xtf3QaqklNRSWfeizXrRm1qU
VWYxSQzP37333ORc+4QmOw1iYqEGuSm17AH5N8FIzG3AohfHoVFkcMxi/WyZ4CzqamzX7Odg/6EA
G772bof4h0jkY3bT2E2zRVOr2R0c6Anqjf3DV25M/npI/Curz19yI4k2bR0310aT3rN7xW6A15rI
MVAXQgn6CpTHzmQHznJEOwehQrMuUbhYs3EnxF4nxunsFm18byC+HKzFFxgVRrgqA7zvU2Vx1Y/X
cd08+H1wm0uMyh3LOogd90Fu7DQ93qUGToDAd8lAz90O85lzJ9BmTljPnHVt8EB0277wDCAtJ4xu
FgpLf2vlRCjhV5A19Zqmv3H7Mjmabv8UamqbpZHcjz7SZoTZeVVpOO7scrSRngA2zQbaWl7XdzVf
oGu428ZGjG0JZUFXYAe2tkY73GrNdFew37sihOLu6ylT95kbXmC6YIXOGUAy92gBpr3UaXQL34As
qfno9PUDnijc3g7TC/if8MB7dyHFVDGeDIBjbRZvAUatLdx2c8plC4HhlCJlbURvHtpQYYsZkci1
WearyGd9E9nZObeY5VXet5uBtewmngiLLvK0KkpP8bBtzeagT/lX3oTHTpGJq7uZ6GapD7h0JORB
Xj1x1T2P5qTtU5edXqVZsDvb9NqYS+7SOXu0qnLaxAacN658DzTdYvMC6FLokJay4tsMX9TD0I0S
JvknhcBNuMOhQmhauNH4+aIg30RTEXt2nZM6THrkEescDvxls/buwivJtRK8xsD7LuOxUfNuhjt5
NBsMTJqocmBfhQQZ5RIhbrdWEr9iwFuLjkd3dEgMfr9oCJ8zEV/IJear3Nev+2LwtEAdLRXeCavs
IUy91OQFUlmwo2VkIWMqJ483CE4z034xfD5GJJD8bXwXdc5uZgxQ1kpCt0bODV/Jczykj2Hpn0iV
XImQBWfgfnSJdpBmfDHcnIOUDWZz7pw96K3vTMBbF0NlqUJoYvGDKQGkxHN5ZJ5400xzhx62EDPi
cDP38XGIi4o1Ieqm5pv3TVpCN511uBVV+dkKRDKWi5dWG67hwFwroe8yfXEwIXlXbfh9tu5EH1uE
XcOXOU9e5yC6NycbZNXELlqunHG5tQG5QmY99O50J/3sVc3q3q20jZi6jQ70bTVbxEgyYpVgGGLS
9VogdvyD3zVperkWk9Me12YNlBDt7wijIt7y/3UdyOwzw6mfVsNuLMejUyXnSXPXZREfoc9s8Miw
3SrI87txuGWRgEYJNsK0M2MNqa/EyN/zynTuldsfC6MFwWtUV3Fb3pRFfQQOKFZuhSlIdIHXMTZX
+ngaEcW3qtMyr8yGvYaLBQMbr0ajeFE9UN5xtC6OCA6ai35Ysf2tgNvmsQndwDXuZjZuJ1SYg+10
rxjw5Naqugvq9oMfNxuR+x67Xb6vIeSLI7Cp59U6GKG1pFIySxKAzbFRswmCH2YmHN3DD7Nqr3oN
DGyQuqtOML+ECMzjMFynWcMgKxg/Z3LlOtQzI8k97tmrSBXJKnewrgnZKk8OoHDZ6TtJ89rhOVm1
6qMMcGVhxSLDP2+HWj0WI7NlF514YK/8rD27LgO64h2UV/W9ZrV4uMp5I1OyVk6eeClWr1VaQgp1
B+slkRHTvBsjsg8swvLmzs3jL8ea9mrIbiMxXPUGhtMCCCE8yfbLxdq0FriZJh9jNCslb9TN+54r
Y9bqz6At9kh2XjKJB/STexLj56LTP0COcutNR+UWL33ffrG+Poq+3toNb92IhwpAty8/jdeGnOUq
yVx91fTjW15q17gsb+Nw0eL8zP2uyTxc51b3xRPePs8l3qgpMglOSfHgN0Ltxmg5oTVpgdFFnRgg
P+vUZ/GDpZZdN0cHs0dyHpOrJdPcJ1q2VSglB4LphyHJ4Z/gbFXZRsqpXskwPSsbV+qgddgGhOUN
RmsSpyrWYVXszNq/Eln4wr6LbfsCnGqrPWeZ16IINqGBmDbynqr9fRxlBRrmcHY4ZiSDeSLLzL3h
cAWQV9lbvB4xFuxLLOirVq+EFzrahz62iKCVc2j0cmtDqVkBHYAC4qLz41i+JavzNunBPqqMT1wx
V0AT2FTZ8ZVrxdYG+/s6d6AJIDXkXhqLDuf8pHlBEL6XMCjW9YCuWpojA9WCk/SPurSPoH43YAM9
V5Bf7AoH6y0MFzPKtsJnKFtEDYfQvA1WtpOtvjPZtzlp+ujXbbMm6/4gZuchAH/MlvENx2tyXeZ1
4flsW5lb1AvS9K1rcnfWYdxgFrNzTLx9ux56QWrCxYGW4NRpS40pOcqCPfZ9/dDq/inU2FGP4CCt
KCP1olnywU2gFo6OdcKghfnIx0ctpnRfVS2WUDzLEDWDVeUHnz0x8FXt+A92hQ831nB1cibvs+mp
sQjB5Zji1/OgLSEuRra+raJ1bs6f/PueZoUciSc7WAMVz7i722gTW0gUeUXYJ4QX58T6JypMfDNl
eX4T6m5/6zfy3Z5BIQrVe9jV3BozUugcB51DWghHCXcLDvmMZevYkxevSy6deS6wgsnpWzHXSOxG
CEAwZgsJsINfGy561+/CFtMz0yl6pt2CIdcZy6EMrdO52CSOj/wcLkP9AmQY1n6RR4fYRDNCtuTK
egUtQfyjbW9rw6z2JSQPT2PsIW6BYyEsZnvNwWRbJtCChcnpBL6Lh6XuORaLMQOtgOBU/RSqzt+P
Gp6fqFfymC5v7kYxyiaSeBSuDAhjzkswTA9WGdyhLz6WyuX5ZqtNaFXboA4OJUhwNkCBV6JDMW52
X6FdPpfu+DimxbMPSZyz5gdOmTX+h2GTWXP81RGCwaZxn6DX8sQChEsUY1W5yMRR+DAlJJ/MYUhv
Q5/4rT90aIWjGI9FySZ20FE9mrBpmFHm1xKcnuQ5UIzjpmjLhaF94LW8LszEi+OsX2ll/Ii7Y+/n
deh1Zb8GXMqTAszUenbjZ1kI6XX4Z8857r+NjoK8xbZSHwfVtl6fmp/4eEhjzAm2uXhTYPe0Lc7v
oGCTDXDeHIjTjLrCQG56mc6vbnFWZJt/jw+MmIzvfBeJc8qGDjzHlJnvvlWei6F3jlDNHgcV3wMV
Hz03inWcvTaHa95xYDH6VdDiNbeSF119tzgGWKm6n1r9mVUXlMnwutfThybWiHUtRupYfQv76S1b
pC+lXiMnfTSdAO6yEP87W97/exCBf654YMNvLxUKxvKfluU4rDz/ueJhB1Xg4z82TfvHFbDzd3/H
rztd9Ys0LFOhsbGZtZaOht9WusYv5BcRpmltsBZDjCJp/a+FrqX/IjCFSJcguGvyPOUP/bbQdX4x
pYkkJGwkaFMK93+00AVS8Gd56ccnx5UDzEAKR1fqL/JSlCFNtxVpJEu5+a3EUDCsTNP3PXsOGXd+
zQXNen4bjrPzPpAsuPs1G9TOyr5BE5uudDe0PZehcxfwPXt/GxJqxYJ+Jb/BU1xjVVtXhDqMn3Gh
usFiGCT++IqzqD4kkbReY1RuryS1CqkkNXFoqzHEZf43MaI+y+dtXkf4D5EG7e2PQBGvIG075IAy
4cuz/jAyzblkLKWB7JEqCjIze8FgWV0NlubeyDJJP91QRduysjA/N1A1TW8i0Ufis/stctT6bGc7
nZPvXyJH2GHHJyYD3gqCcOphpuQkXP0MHrmJlt8zZDWnvwkemU3k+YkbK/ALTmuAtcmqNc8U49cI
khU6z4NQ4+tfYkiLzdsTWYG2vWSRbNNW1YoB+b/EkeogYjfnZuKZQIpJUPqPkSTOwimPVfQ448+x
pKZIoKvkSe7e92HFabuC8XhVjLj8ILg1njnYyR0z+/5HXMkQpTqKIIxu0UMJey2RJVOO4gRzuDm1
oyZTXg/Y9Noqhc0zhtoqlbE4Zi0qQVgLwEKF/V/CS0PsYq3hc3BOGUKXzdacVoe+Kp8xE5qIr+2i
IhRG/grl2eGAH8rnP4eaeicRWyUE/rBisE8/k02TUjMmM9iNtelfO04/Whusap96EecnPcm51n+P
OOFygok4dEvPBRGnAD4P5InYPfzIOfV2rl1nvTa/2cYI/JFtQrSDcMm7SRUbvdSBJcyKQdtnG2/n
FrTJOGALKxpssC1AAGyDV7U9Q6J1Ka+Ys4zA8cR2ujPlpx/1IwdUuUQ/fgtD1USA5sKEkaSZEdxK
w1lc7n30DHLx9mcyqq36TYVwtI0ClqwKQ/mPhJQVZu4NXqgr4UONopFipG+AYDN00lIxd+k+f8A/
gtbTeU1P1vWPtJQx2fXJntlS/B6ZagDpt5XzBH0HSi6pqTAEKuTUrctV2DOe6lgE/crZu3LocDMt
8SmDNz2sfQ0bFpfdPJsa7rPFraE16g9BKoRk7XN2zsJnrTcbc/OPMSqgk9050otDjxUzdJtsJzL1
Pnfp549EVdpMuHtGad74Cbv/HNvs/u9iVWMVic3QAoMMhFtseq1Pj8Seqh0mcY74xPDfDGxz5x8Z
KyK54XNsaRezAh/9I2cVJgYiQDUtx9QM8kCbbYpinjZlbb62Pn5TP2jf+RtUuXIo7XnizJ4AQSd1
FbRzd2VXmrH5S+oqzGX13c8N/UH5g/pr8qoLonU6hs3mZ/oqtE1I8N2M5+hnBKsGmBWITjsuOayw
6es3NKT9X7NY0OY+QgoPONCSYaws87HS5SoKIny20niYbD4i8ha3SmV4Qxf0jzkpwA1ZHqiQibEd
YtlujPHGJD55/BHW6i3pJa1z9zOvZYPzXmVG+PqPma2JxTSI2fnxvxHZaqYguZ4lXri/i2yVugg/
kdYRg/4c2WqjHtgw1ObHxI6BsQX2UB7LblYep1m21wZ8RDup+Vtn0hmurJ9nYXqOIgSTuz4L/E74
uKuIbeHJ705mEWpPeq+Z90tyKy8gyUexKrY/klsWCT/m4nRvt+bjj/TWuLiQsTAkZ+VffoS3Rk7y
W3dZeBDgskMV72aaiaosybZNEB/Dv+S3Ct91V2IohvXP/Ba0nhRqiP1pwS/fiSU40AMo3f0Ick0W
iE4Xwsbr70Euc+KMA8Fz3NkilxfHzG6yKZjYLT9BG3q30ZiP/QLxTyfWmbWVHGTKFjHDx+FZQXLT
5pa++xnq4mT7kaP/0rXyr2AX91hxsoBP/rtglyRgfD1a0ZsVB5RCZPZj3Sg6HkIqeaZUvsQhXrtu
cu6rnyEvVQbHepD3S8YL5Otdm2FTn5R9cdM+2+lLUwfQIJ0rMq1WBIzI2qfzDDAk9b+jSrk3VTS+
/iHsBVmcfprXDAXCA2teYlbDcBrm8cgM5FK4oyX1lwgSTiF/FwFrK3efWUG3/zcRsFyN9T4sy/jl
1xgYzvL0vogR0wK0lG+m82+iYEU0n7pGA1SWcpaiuUuv1iHmmKPAVI01Jyq28CfldZzm05El6YlM
WnbOiFEc3Ek+29bAVT4IxPqxS8xvoT69BjTwyBQ3TdvhkLHdzPSavAi3c5gVW8IZXp+U7gYAvM5x
K34YFQfLaZLhpyxQBMay+YaLeZNo/bwfnLa5dLGPjGWanLDs4SYZI1zy1sCEUJl6ctKAE58jwBOc
5+oYuQkwrZFi8w6q+Jn4qiRlpexXltUvRNveKz2+TLN+lQKO3ZlTae3DaLgrG6Wd4LUn6wZ0XDov
x8xEvSr2g+Gc3YhGPgfw+TbGAhRfqMRy5mhKTGufxF1NVQNJnvg8FT656WAcPJI1EMRFqR/Cev4c
nOnO5V3rtdBFCB6xEbaH+LoKSP5ir8e0mMtgZXAv3hMU4QsPxXNFlA+9vYlvDBJzngwB4Ao7e/UN
MayjhCW0GbGEw7ev032hMvtg1lmw5T13dgJ7UwWJ8tAO1a4SVrBrKxbuOWzpjQJVMmnDnd0HNqaD
wdmzupihim+dyn8f3LOu0au0AGfWRH99PEIlYo/EaYrODJ4fdle96pfkQih5fuhxhJezssvXMcne
x8K3zyRmxEm52msowv7Gbp0edFEjPZx2rEZK2/XS0k927RxidgWkc3TTyMUrBZIRq0ayj2LfuXKi
KT7PJnTMxmCzx/S0T+FjrIlxfLZjHFyVLZ/fpH1mE43FxKG8v7XBD1YGJ3RS3hAYRv+QwFRaudqc
PNp29iSK6WqWzQewFfca/qm+MbOy8qyEXP3Qz1/Es96wzOS72Khwi6AKwNNpMRSk8kxkr945kvxg
UGruHSgl4kVVx29Ru9bbKBziPTZ+VmaKnTvRHmGX7WNmlBQEhVjL37NpIODSRO0qdY2TJlS6W0CJ
HtEnfUPVQ7Su2oKYb3qbuGbzLqze2fOjNU/lCIzfgnD8OkV0dMABeelFm1xbMT8Z4R/coTGM9UiG
xspV2tM8Rurcc0eBC5Dr2A/ReUAJHadF5IzAVLwEsJV3jWNBPEP0JPcw3yi/LY/aQktGVksJkSkX
rzfE80RPG/QHDKFVmvHrOWOCNxsFKO/d8zRYXEIyHd51A03UCfgcRUhWsRkm+Ipk2DYyhriLYaZN
DTybWbWBgZCvTQV9nZVa8QY2C45jGu3BSb8KY7hx9e6ugC/p/QquHmbn4sdB+5ZK+rAkFWIkbbke
50X2ygWBDVhK6lZrSUeY6K4EfIaK//8qPc0ijq7CHqb42ANnsl1sHquMZocTmWt9XzemdW/4xSOq
sFpnAzwtsM/VW65iFDAc5cs2EzFBRvteon/BnfpWUJK0cagp2MLPUhDFW1TCRny5Y7BNuvbLN2Ob
tquy//B1PktqkSeFQn7JQ2k+5oRz+FfR5kPQg91UpD6VKlLMMhBrYx34sDHj8VZNh5CgU14Q1DRO
NQ1XaNj4+rFXRN6ElEebkZyaps+y6QOPpFlxW5FFB/BEML9LU8jykRYdKwstEhp3dDfX7odmlvUp
jXXr2hjb4g56THhrdXXH/zZ5yCP7gZc0jxWX3FCp++oLEpY816EEvFw6xVOfQBG3mwJnCYQ/MFG1
uo8HVxxsvbC4cqW8kn1k8p25YIlrkrzf9Ywp3lHZfEuLR4/VwqXTKchIGlIokG9kWT35okvedL8x
To7fh891naMsFtawCbCb3Y1cP9BLWKpHAtiV0xG7a6yKuKWgALCg78MFfXXWY984tGn8nhTzhXQL
iqTKHkKHB6qj1A0BlKdBzl9ZXu55PuLJCPPpmaTQuxPNBmkz4OU0jt3y1tHOyjIv1rw8DWRCSCak
rGai/4flqXlMtNjC8MprGrfGA/nGbJUl7UdXkrLtjE694DeNsUJS/UD0EOWjXYIvDLvljFVHa7FS
2jIx1tqEqIozKAG+ZW15ltSe3yNTx1ruHjPm0nXBDvkQRcUrrV+vhq69Ap97Tm272YPm/l47qNgl
AbmrtsMtDRX2VI+oCEPWqt2A4rdJ84H6NmoimKvwUdmpKq4V2eotN/h96CSc34EC19s2wN9a2j9e
0a25NWNW7gFJtTUfO/Ia3lK7sLDKtesulDkaMWrqDtZc+SayFHqFG0wt+XEoYblNtx3Gn5ldBuR2
kEdIpZVtx6cy7HLWhWN10UugCUZNfNnH7QOywAnPSCJQlE0Sy2YeT9dzGllb8mDd7bTY9IwswdRi
F+Eb09dOspX2ZC7ltutMzG5V1q0IQS+Jego8ySzedblID2EgzK/ID2v276575w557/WqYTjAy0Cm
sgvfTSPYco1o26CJ/RdQPg2tSgrGNhM5QaheHEj5gHog1gzEbpM2rfMwy8B51LDYPtKO6WywrETX
sqYPr9eSBSKgSTbzREcZYPYy1KZPN0d+mWrrrahM7HxOIS42h/eMIrHK2RgTpA5Dj2Bn8+7fqMZJ
sTS3fH0Bi+fEvtju4rM33QwvEynYcU7fsGdk2wrT3gWJFute6Ny3NW0AFCWuss71wA6iNicoFwov
yO2okpdZuW8kg86iK7n3RAH/JTIh8TkZeYCol3tAud8i2y+PltTDSxKqDzTN9GSXUHaxDGP1Uum0
dluen/Csmd2sehPbFB8QMtlq5fzSB9GmwCu1ylUpMQo570hua0EXlD414xuqtXNjjdNT0Jbf6Qlg
01c/Rc2zkCyV+O8qr5shVvcg8ogdOM2uaYzrMSuu6ailiqfQ022QRjfECJ7nUtKmZA+fUznkBCn8
+S6dwvSjxmv2mmGbONoii1HCx+uur6MT2LUP1gLcjVNj3411d5+z+F4NLWJfbQ7VNTLSyyid20Zi
YcL7xo3duy38A+tCksRASpDxFrvHQDaOMIhMosW3sw18o8N3mT9BGbhLU3jfrL2+c9+Jb0OOA4iJ
lpkHH1yAIR2PhiW3NMHNO1YE1guQIwgLvVG8TxJsBIY+ARsjXsa00YqpFc2zDUsTqD6GD4Qr6IuV
PUWVRwlOtwfP0W1VxfxmmRJ8tdwbBIpX8CmvmNQCdLEcD2OX2Idp4irg2I9AzOuZ+F853/mVDhKH
kIfH6iyGZhLxEh9EACeu7OcjKPVyTVXBBEantVcFdK8DISDjKH1pvvA+DW9qUe7kLJZOHlXBOakJ
IWL2lqCXG5GGtFUOW13vsaLzC60GUnZXdc+LaGipsSB57PnkBOWSCiN/RawtyAxYz13MKchqLn7E
Zy60rNp1lsCNGEeRf4paGwk6cHttZwhkJCB17Xc9BVjTh/XEwo/phk0qjToJ2KbM5MFXQSTbhi7a
c2O92nbt7gZiaqvCic1qzcPaWtVxx+uac5xHIBEWSMlt6NeoQI6VLm0gxC0hHE1k19gmc88/5hJN
BxACAxb82G3Qw1TI5uIeQQnRPZmKA3m4dcfKrSPusCYBShWuSh7i0gbK0y4057ilygWCRIPUuZED
lMwQKb6p4qvclg7iNsVlMJ2ypzBT/mauMDXYFR+uQFIbw4EiPTXXe32Kbuyyd6/EkPP4ylO5t2UE
gd8IhLWyaxZ2eLuiTikMEmNOkAHHCXjGwh22dq+CxzglxsjF7rh7TtPOO/uh8QFXs3YsrSn1nJgp
xDG0/lwEPEx6rFN7PcI0N2OGnXfVFMAu6VtWFrZgA0Z8FYx1fYWz8k23QIgCs9Y3pUW/7arI6IEi
+jpicKzzFfWXcCR41PIyxxuKSGCtpS6YhmOw2Yo3/diDNQEbMa0HvXrQ7bHbdHC/11h+7gs277vC
Gb9iiDYLPnN+4HYiOT/SVtWX2fRM7MvxKNEydpFg+yGG8TFQ1C1LaH1oBUA3zVy+mGPiST+8G8Ya
c0ChrRH8QQtytSYFrYJzl39PCi6uKRhYRHdU7/w4EgLyeRtrrJIj4TW96LmZs/5uLqDc4KJFuXM4
Dfld8DGHTNB2bcebtiG1Rl8q1w1bznQ2I84Jjlg5AeN4aV+cNr9VYw/aq3gRU3KZRPGEsP/k0zm4
JhrG8SUSMfEsWg+Q6Z1VYzofeUSOOVb5N85Ez3NHHqmpx3cEjC+b4wWA1d46aUCBTq456Wfm736l
Z53x+Ac624B4GaxJyTzIRH/u56l7+v+Exj+VuP8loUF9uw7/959lvTVF80Q6/owLh07944/9ls5w
OegSvUApxIBCwOl3KU/TfyGrodPerpSLmmjBbv5dzKOjXSC0wnJegiLAiFHgfhPzgI2juJk6CqC0
Xeh7/yMxT0g+wR+zYjpQcoh/WOQNeMqkNJb0xh+DceDo9MZgODB8HKAuqLPVPDJTxizsIOZ5dtK0
O6u0BDV2sbquE3XHgZ9sBjZSAx+7p+MZOjBPXPtmkpItd1mpsPHhURNjOW3GZ8sZ0LaYnwz5Jat8
X7UA/8DpxJ6TL88W18CblD4LeiPWWWNDyO4ek6LaEW/iFMfDFbsJI0nU3bWRcyNK+6Gd7O9EoE5M
ZO+YRajLS/2v3GahWPk4g5WR7zuMZo2TfFXsWHn6fWMxtmnd9Fj4ZefBak3QcQbu7v5jCuRFQYNp
FsflQL4e0DQg1zh565S4iV0d3K8+0YYOoSjO5t2kBi82m/Aa7jD+6Ay+n4kDvyaSJm3nemoH6s1b
DJu92kAwGUBOAQ+YNc7WCD2TNO9zVe9MWLZw+4/IZGQXzEto+nfmRFcGkZ5jzNSb5HoPrqHCVDuz
/7BytMFCYUF0sOmtbMVzQW86r42XqrDyRnd1Z4mffbWD6dzAlOMrprcR0+Kl0+brAWYNtskl3wIO
K/DLg6H3TzxrmfuJyIVbU1Yj1YN+sqqy9s4EBrLqp5bCDfL9YWM+wld7BfEhV75s5DkN/Lex0vRt
NQxbYdLhVeb9NltqIDhYZUun1jYrINel1kerCaDNRMsrJa5YTb4IP3opQ+HzZLR7bzbsZ4eH78Ex
m5umcw4t0dCxjw4g/d70kMaRiEjFRmTWuZPajrR2uAnYUy9JmHLFH7RPHGQ2UVi/mKTZ6degvSkc
L1MpUCP4XcfMXvdiJBg44qa10h0EZXOli2gL3SLg/DfuO7u7sHK6MGkZICJ1+pSjwyghIxhZdtaV
fAgYOnxn/o4p6bMeh1M+4Xse9cBTIW3zOZArG/SyZW1HjQrAadgiFb4bJX3trX8oJSzbpFneTaS5
o97GApvra5BhTLAV4RHfmtlZp7d5hFkw9k9u5EINjHZ9ErzA9cdFXUSvswvJCTyKx4rnQzhYbjQZ
gJRJM+CVZH0a+ZLRG5X5wXaKotsZGh670ne3vZeatXM1JgcZ9p/MkXe6G5F5EPuFjzhm1sk2uy93
Mm4U2HhfBM/MjDhgEy4GlZfbThmnYOrQeCj59k3jltjZS+BwRzfh7P3YvsX2U29Re0OymPaUaMWQ
sHwLO3tiQNEnDFZOuBAUhMEjRpqjh4WbV2j9qrWwQEztlFrRZTCtm0pvt7OQWICwBNCvBl05q5s9
K7ITQEFaid1V3zU7adRrZNV1lVxNzqszg5uN9P2ky2y18KMPRjKPpEUCLgc33bOa9nDir7TMAplg
9R4dRfDui3vqpbBmlcc6nd5bqzlbpQt5g0o1BJlVDGBGVslTzBDjGMPWaLDCCaxaQKPPPMuyNcRu
rk6356ouN4aovwXBB4mHO6nnyaoo5w/m7GMy2jsXPwHHv28WfneW6IdpjE+qwYQVW+dWMriFpKpE
rthE4W5tMbStMpFfjCr5sBJ5X0F8IMSERqQTCVgNtYD2EfkUPwJIUWX3nfPTyhbtzhnzE3PHbWKZ
udcbLIvs6mJNMFs0+lzXXdc/2ADJuaDrTUrbyA7mt8/cPENOtxjd4mSm3WhJVGHd80qDquIKdgjI
i2/Szrbwd761Taqxg+0/nNJ0MXfLr7rL9qib8ArYNi8nGEOegwUyY2sHl5iMFzgM4w25mqzF5vih
ieHI4HQnKe7MS0yxY33P/s8bUv8QDfIh8RfaHiZI7EgPY6EIlEV7UUaPGYwGyzK8Ri+2/oAJS7SI
+wqHCX9xO6h90KSIdxFVlr3f7UzzgW6qg8+/RGnkXY2al43JiR40wK51xQ3HfK+wkseBciO8xtJr
CdWvqOe9MR3/EQIKxBoCWIU6yCwzNtYQyQPGdMhlFr3mDW7FWeWXsmJWo7MnLfiikuZWN3nSRDVo
g7o0vXDgLSMysgNBQ+xaOgtM8CWvA3tFwz0HqXLVWyE5v5EAnrbVKSLvupqIl+AVG9KoNHXqm4yy
l95pb91uONRjdvHtYB93454ayh0rumYrpHnttNWr0rCKj8r2+rC8z8hpBBydY9QZO0tuK7vdmhTj
lSwUOBzHnmV1FHHa4clpqtOQRess1F4T0V0VwYCnVb3VHB1dUT8ywp+VzrY+My7CSr9BHnrAuLTJ
KwsKewfYEquBP/Y7Gy5moXHlCH2iO7Yi3azOjlN79Cc9ThBPCbNtE5eUXeE+9vWXlpgsCxFR9CU8
MvvzNS3oO863t1HePC09VE1pXXpf3fp1yoHAXpdtSTX8/G1I3JOKhn1ZGF9jzfbYt+iMM2MqK/V6
WCehLNb4BlihsDlbM06xp7UpKOGles4QnOClBhuh1/kp0GEvlzXSdRULll8ZmTdbv/XHENiaAyA3
iNwX0ekl7VT89kHeU6BNP/1Yfm+5j1Zd6dwpFq14H776KDw2o32LQRFz4izetYJRYsa/wcRPYRyQ
7sQTEUhSAkWrZnI5X+VwySoWMXUdomJ0F8nBlrkIRu7ECkYvH1IroaXVdW+adm6ueeTubPQTjsAR
T2S73vNe0LErm+91ScdZDG0Ap6Bx6G1xYwf1VZq55c4ISE2VVvvMk6Jfty2vxjlSj1CprkVqnwdr
Wo7anDqmPH4YfOMmFITQww4Wk8pPqfuG8vCo6O5N85BwgY163xW8NgFD0YdzDf/xsc21HV/ee9LE
Ni+X6qpJm2NgQQ9zW/3OnLuj73JjM6hB7sJA47gN77dyMwcpbYgZ0pTeVmAicSXHY41t33UHEiZL
XXDOjyect6EZvttN5+IVx3sWGTzRQEffuHCVFh/wFW8fDOG1tqIkBiMYk4Ou8+hze0cjPdOsxzG9
M0KD5TMFi2sTQS4REJMCgybxDLK1T6eqbt44nM1Ipam9oeOnVwviY/QrT3XiqbX/k7kz2XEdWZP0
qzRqz4ST7pwaqEVLosaQFFJEnBg2REyH8zzz6fvTyS7ck9lVdVFAN1Cbi8RFZmgine72m30GrzZx
6JOfvqIk/ygEw8EpMro10IQ3PfU9VCs4Lvq+IYlrVQAG8H75aXO1SOo21lyuetVckCzuGoKFyS3U
C5+7P1i92GP36WH/Ze59SAYYR9i3ewsFT/PwxYFwGZMWnkjl2aSH01C8x7c4cXILFiOQkZ4kazwl
pHzKW/xYWbnyKNA+5bJ/iEko5+mwNeLu1IeUrAi40su6j3cJqeaJdDMgMBYxrlr+a2Uww3jTJFZ0
Z0RKIxtNI3XgjY11JT63MQztufeJUQvy1NUtWD2RsB5ke+yUdrHq4DPoGxM+N2FsC2Q9zuzsGmjC
XqY5+WGS2zEEp24AQHCLdPuu2DtkvBkIE8NAJsRR8iQHqgpxQQLT1Nb+zGCZnDiH3Xwp6G2ebwly
FXafXT1++RMMTyuNBs/kT60sd/qhNf4aq/sxnRhECSiEo6Y2dqs/dVPzjmZ0wvrzJmUckgoopi3I
UiaqdNl5oRo/+tbUPa1jjFBqOz1VV9HX2Qqi16kzKeQNFF9FZLdbYXXJ0nStV45VT7ZufCSivzfA
YTg0NA8CY1BRfWUA2NbzpMBcR03ksU24N/rm2YIKeKOQzVBviekU4pS2N3pwKc+FGt8cgzhkVLdL
Vuv7gD+X5hYWct/Fmq/Ws2QPJUyc82Ojv8XNLTHq9Ou6pcivmpChJrOUi7S/OeZm9BBYiwcgOZeZ
AhVWi35ufxhufwHOWe/BCiODNNibSzJ/85xuQ98E49J8NXO0nEK2oYPU9/5ABG5CvDWM+3J0fkRt
B/dXEt076CL77iSj0rlBK0tbI9jxWx+nTvMSt/4cJjQ1htcJuzZotH2qbYwG0HIHv75JEqR5aXvl
HLGwU4GzuPX+rIcMZSUPx7vI5WQ3OubSzKaNViX1amZ0xEJZ4Lyx+Jtsc6NFq6aNmVaea/dbGB6E
psl5DqYLcsWx6v1Ysr7mHWcQhTXbHMYdkBs8fRZfaz1TpZzafcmghBgpU23SAL56iwfzHI3IdFmt
yiUsplMed2o1YtfKsHQr/GgNbae6SHeiIuxI/hCB9marBp//3dRoTv5cAP3tE303lpWxFnqteUNO
76ZLcbZMK0yXPr0nZqnddtAM8mp95HxH/slzanDWZWA6jOmxOY7BfQsiASJIEq9bAQqJwcKcWnhG
yQ7N1JgstGZGu42fmUCvNSc8yzAUxGNjwZJHpWoG6KSqUxDVLIm9A8Y0AATTjoZYhqb+GGeKEVRQ
/+QX2mCCe56YUbNhJGsCdu9kJtXd2GGUBJjGKuDW775sdiFTLHLf3b0iarMqCVoC02au2gz9zo8H
T7lBDwQgOLJoEwxmZQEeuqNWpMf4Lu/55unJq61qVQ4sEZn4qof4UiQyWiY3HpYxTy950fKFdpzI
zKYEfingLpAFneQlJN9CYQDNsK3cEcnvtpYffLX5uEIhJlAeVu+GTQjOJZVWm+4Jc+6xl8nOLfW9
wPawyBW9aIJEGrQrxj0EoHytPmRl+KMwp2zJDuVelWo9pBksTD+JFoY7XuFwk4SEzQSPq1ha/hBg
2ZLnKOmO0i+3wHyXg9keJFtgTWnXMnELJnvmJRkCbDBa+OiPBkcxK+Gs2qJ26JeSTR17+OhWt5rf
0SyxdHP10lAwv47DkfiRAv+fjGBk9cTwksl/0WKOCCpeZ358l5eM9Ea3p/so7zj3gHfXetl7Zpv8
ZBpy4c3flyTx6zJc8r17cdI/phWaRSWAuTrxYZwFrFAULqN0rb2T4RmhvxKVsgVmGZxI0oGpE0co
D58mucyqE/U6N1tKe3Fdcd0fie56wmfl0keT8vNevvv1bHohvNhFfYP71iF5ilESXa+CbTEP4DP8
GUKF2uiaLFg+hVfH7r0f9F8aRKulYc3fEvcEs3bj2yr6ryYPuKJRPsMYBWYkgJXq+cc4o/E2NrAp
hr4mKUT8PW0Jpy3szHeoVcfaGa8QoZ5SZq4LBA53PWvY0TScH0OZ2ycbZO4PBnjtEt3UZfCoAN+V
+OjS/i2k4spNCwCkmUr3jo89YQxZR9ymvSHIWZ9Sk9YlaBRwT7bUtW+TqD22fftn193/azjOf/PY
xN9EVctWBv/Xfyyq7vKv+lv7brU77t+/Sav/5z/+U1qlPNGyjBv4RvI8tBBY/y0kIf7AbUhoAuCN
FBAyLcIQ/1BW7T8QZC3Xtg0pnVuE4R/KqvWHzd9EczU4L/1XuTeO+huEC2EVIo8AECGFxQTlV9nc
b8IqG6CwmGxYTBlg5UUQ5cYidjt8T223xAKqcwZwttUAzE0LCWSakzGf7Pwpe3MdHX4dY6yYCR6D
qEJbhdSyL+kluatD/xlj3k/YPXiClE1wi6YbOrPZ7JB6BH+Q8HRZ6kHAdplQuFapYGVGeIHn0AEf
yMy51y8QV2+1sry3uDPBqvTT/ZDbBM26MN+z61/3uSxfIyv6AB5qbhqgfJ7miseOU9ZeVtkPO6so
3iBAWZX6wUzf0z44i4SEqwP3BbvdKpD5r7w2qtncvbt5+dJnw1mf+w+8Z7g6XOynY3PDydDAOkq8
JZrVwx8YthFtyWwZaDaLhhZSUPJMO2G9qbWZAJqW46KDQ7ccatPno3batxHTAF1E41tYIwHQiceZ
z0GLFa7hbmVjxVtDi6rtNGNiUFUfXtwoD+j95iwSU8S6MFrit2w4MSX3Pl4OYpWImSCFybiu+tn5
Gmvt7E7DOVM8EQOtfiAqSLfPIEr+aLCPBowiA9WEnF9izH9p/cnMUVvVsmCzbsbnpPY/dbt5sPkB
ZBFX16ajkSem3XfhpOPKALu70AI/uNSle+AUe+i7FKSOZcpPaeIGHlOD+Sm4bxINALxlyL6ktE4D
zc4Ljhe7hJ4TnJ24bdibbanEmy4BE3HUrvRD05U4hJ0F0l0U+4aBNyPUJ82vX0YIKl7Vtt+o8b/8
xUTym2RphG19Hiddf01Lx1inhnboLPdOUkRz2458itl/zJuvZLKpvSHYveMTLVoat3cl+HqMksx6
a+inrs1flZqxjLBEUMsstn7FFN50iq1t2rtBdJHHYOLh1lUD+3AuKcwb1/nsLl3f4KHYhjfkbXYX
Y+wQAbeOy+RwxVzvlCfmgq+E+GuB8YXzCKDk1JoV55fk0erlGbbGAw1CHCO7rgTeBDQldWYDrar0
9Jam8PRX82CfheAz/XEddOJBDXhqzSao1pUF8z64Gb3c42jozqWNs0tOUnVVt/rAqTlzFlaln2tp
vyWiCClsSbnYAkXihPKAPMIrF0TqeRjmW8UE8pWAhAnZJDw2on7uonqtWn2TM3Y0BnCjjp88B3P0
Kl39wXbiFz4+96HiAJIq/2FC1E8q/86feMo2Xf3W+4DoLB5DS650yxvpoySdTzi6bNX4oNNSDomd
7Ux8S1FHwafTdWzk2XLbUt9q1G8ucqjDDBLl+6yK77TANlhFbyo0N0NgPY1jtm2ke1fV07kJKNAo
7dc+AkSjTCApcttb5pYWU301tVV+8CPth2y1j9y24jVLKsBq7oUGgHikR6MnkaeGWwsiP9VSa3hZ
Ywz3umu8hjEECN2CF5CKUzx1nJFsJg3JIzf5vJBOuBV6ecLAsWrAlULx3kkj2NR5T19KqW+6fDJX
LtxpmV/K2mXKW6wb2JEy0laYs1dJnNCp1TPmoSJKsjkQZcc8uWcjVFURtX9Skl3zxfs4vEClx0tf
4kEp4H/bcUTrn5USMSeHCgOQrqtUHO3GJxisx8BXKpqfYwpYMnmXR8PLbAfYO2b1E1f17AVVfl+k
lAIo9INdjwsVrYLZuO00yYK88rbjLS1aORDRl5+DFuQ7re++k5IFhb1jtchKQBp5ShS3067mYPhe
AVGVBiv/Imb3u0+q+yH7abLOL3UMtnZlvzm4z/B51vvMluF9VZs40VCG/AGwfydYnuoXu2jyZRnN
V0xT0NVx5rBjG+9Uggc0cIt91ZYw3ukOBUsAZO0G9I/qaVdX06Y1wpfqRpkK8x+lIvjcNt867XLG
bK0dEbyOppMDCq1ww1oUL4aUccDzrBbDDTZuzOETPcQfaSbehcswqbGiH6rHkZ9wRyICCjpsRBzu
MVWt8yiH9iw3BFdISTcWc6N2UelQyTrQL8ZgbnOXYbqBf8EhnkmBVoWmmwgkfRkVaPFBgBvQPrph
2G8RYHcsTxkHweyz05xupUn3i8ID0GaDvqlZsK4YIBfYQF+nJA03Mw0nmBOGb9OH/awb9rNoAtKG
KS7IXFWpVzJdXBZUv6yYCi4n8NjEPexr0lORFfTTSgFp5IKU79iR1wKZHwnXS7LZQ+h59g2rXNSw
vUzFgQPDyRsxhAIxw+iOmulKukqdS+k66yAr3osI+2UrP1QQ3M/0CS86oEhdrw5+jPaWKa1C77C2
vZg+KRnf5F1/okTsBAKXGUP9gzD8vseGa9ErjnpDYao5zkuYcxszGPCZ4RRZokssVdmvYXqAg8jt
RS61jT/PrwzkoBhE1XPWtC89snAPrQT9GhOtj3/fqsyCmZpgN+GPX7Tfck6UgAbKNv6y9Vs1W343
5EAsG0FeABL9uOl9pl30LSyNIWPaFdvnAu0XGQcKZhyXDHsy7SlMNbyPkaL0TnsYg3A1Z3O1ZQhx
HGKQm0KcnF7J1WjnF7PyXbwRtPn02C9nW2xICN4GHS4GJ7LoY2oWK5uva2mCNFuOsOt3GT/+SrvZ
0oPe/TmEDuDkyOK2ysS8MsFMVShYgLOOVZlHAB9ws5mzts0s7lqlg7XBSXymhvRdDMEWgOepDaN1
mLjQiQaJLox2ztaOf9kcW6x1Js/GkMtxqRWfMUb9Yaa10O8ORFmPFTmuQhD/nkf3GSSS18foKD5G
M4AVIYGyhYVxBrjMNi/Si1PU9zM09Y8qEMta6NvCtkuP9N1Fp0lskzXlQ12WF2UGMPf1Ym+bHdQl
8TjWYN8C6HJxU62b0DpRmhquRUI1oLCNM/HzRxxwGi0V3V4FkJ4iJEMmKcQy3G5RhxzXtaE9ZH2w
t1sLP1rw3JIfqiKEGpN2QoZRGKztrP7ic8VrazJekj7czVNMftGmpVA04zrS8AA086c28elkmS/w
B0x4qphumIzWJIEZ/FfHLKmv8TzeM+RHcZ3WhCHGZZQnd/h0HLINnMdFb19i0WIOrN/MiOdMlf/o
p3JNtvWBGepF5vLBT4Gltxk/lmkDdegC6yOIhorHxITLPva0cjTWTTqdSTccAV594yx74De/tg7R
Wykh6geYNHum/TYxuQnNk9VYXzacb29v/6N2i3ejsi9l7J8adNn29m+MgpM3PHx8UdMN4NXNhyzv
zj1MnoXJ0QWuWwWyIVfduvfH6xgNe0OGh94ShJVMZDo7uRZMEs02RI+KGEKkxvjB0N9zEiyMGCrO
Ua0zyxspAescfBcBqzxmRJ9xhV0wZp7dDZ+X+EWho1QlBJWb9h2G73ou3GOTul6okQZCUZx2+Tj1
uwwPLXUP8ntugfKWUvOEO31qFEhc0hsd3/XlXWy7+I4l2b1Wq3+4CipWmPro6iVLCulTtfBDNphm
rcY7SG8pCrDfr2i0KxapdJsVAYMbQoPnEv9QbQ3ljOfScsBzQa3wyyk6TR3DZ1YvT0mgOb2spafd
PpPqZkbB7PCaBl0wN5plHvlPjUGThD+b3RouOVTckstdt+RFj3sIKVr5LMQvQBleFPrYVkOT2TDO
c2NlOlAkK+dD+dq4Cxi8rODmM1QKuhd0M1xealLMozhl0e8TMQr+Ks1iF5to0RWgPvBpb4SOr6qx
X9JeK971aiq2gyza9aTVyJgwp6kWqClUzTrPyDC3F3bupTbznmBUP0J2OUQt0WW4lhelknzfpbV0
2uySqnGiUcJgEDLCb6BrEx2hRvAqNEDMRf2jZZOBDey9N+Of4ORz8jbhgXyPWEwDtaSNjK5jBgWp
VwETjBL5rcOQa9EMkfIUXbODV4esqLQVcBtMkiQOyj70BtldAzv22Q72w8J26n3YKua+RfSAzT9Y
hh0zf76+a1KoZSeq6/8XO9l/c03jd4zDjW5rmFBGqRrRdcHzG3/VfyxvnIqu/07Tb+1/VV3Uvkf5
XySOf/eP/Sl3GH9YHFgNIQzbhQ7hIDYM3037r/+i6X8QfDCRF2zMx9Lg2vxd7NBtvGW2LU3TNW0B
G/jfbGTGHwS0wDegcEKwELbzX7GRWRjjfjOR/XrfSrd59RtZHb4rgsvvJjIKI/ucPBP+5mFirDQP
NbqF5VBfSSRpHHLr7Ij8GA1c5bpGVJrap0PdCCgLeTodLEKEmjB+VmZ/QRGIz7Nh2/u8LPxNUQ7u
vTnnzIktTAux6tr7qsKL0qR9cSxuDy+CAljm87p9GEI/PxjFUJ6oPMHZazhkNA15jcr2sWKODh9I
22gt6E1KO9uXKKiJm6nsS0tmtnSp61yQjdZD6VOJWVqfmQRKSP+gdhkjJA2sMP5qqEaNqFxHXRUz
Ns8JsbwlKRz1OPIDdGJSvjRchv66xV3v6TfFcugN8UMkrbH67crhmDAFRf4/UG7vSWm2zb/+y1+N
e39eK5aFvmUZDmLm34174G0nfRjxlCeRcLaM/w91JSm9KMefGkePRTvxhpo+thZVYpTL//zFb8zm
fxDm/3xxLiASuRIJgYTXX3/wNoVe3jclVge/E0sK4jkjObcHOjELuvOyPxkyn+P/DL6Lf+ezmjcX
4t9f77e7TNf/+nqzgdss1hkm+VXFbtY1tJUB0Galu1n/SFehXMZQdUj6RjHrWq07GKsyf0OxVvuu
Ea/ZGG1osBklZTektOyMlut4tIFSZzvwKJXdF8NpwFNxFS9pHDc2cqJ5ojDzxFMRyi/FuTCkuMy3
bTGhHBW0j/bC8YSWAm9XYJQniqv0KHqj1Rvly2x9r2T9Z06OCFG2Um4UNhDoeYSuOts5iciy9kQC
mQZYVbkQIEpRWIqa5O1kKxQJ5QT3QUjGw3AZREa6tjYcDNSqjJz7COs23K8g9ujLGf7Jd/3ru/zr
d/2LayORSDnoODoS6e83szmbmUaJFAKPm0ue7ekla9P5qFtxfQcvm90NTNvKhZGM15Obmibp6TZR
+s+vsNuS8fd3YQkdS6oQyjL025Lzm3xaM5umJJJ27tD20/qKqDh65IJSnpjY5P5ZPcT/fTOxckHc
UYTCcNe6N+TNb69mG8WNisGBMe5whdvM4nddQolZp+tA/Qyb+jIlByaxyXjFseH+k3tZB+vz189r
WQ6ME8syhUEzuwDu89d3oMpKIXZxEbGT1LYs6NA7ColkmEOm+0fvS0FWYDuqLtj0qWk+jH8vgCHv
KF6nsSvOsL9jb0gnRmRdMd83jNM2xPP65aDX1j3054qY9mhvC9xRZFkrfzG4U0pImmYgVVRM/4Ks
wrTBeaqu8nbT0/Zn4nSde3DsQEeqPa1RBwRfmpCQHO5SObCMl3O+whJXX3yXaEsSOwefGs0l8ZUF
dUL1NrgVBZLWvNZYMUml9sVyKLro0BWYjQIjGY6GJAvW6FH5Y2qjAQHBGb2ymB8tJy4WDlXb1C4U
2clgZLsaRs366KAkb0MJUoxDUOguMk1x59d1i723Polb09HECrpIkqgi6R222yIf03s/jvSdWVjl
ttErBujadAK+kPzM/MTGKkk8YqFm9vGNs+kszEXdqJ7RpZulP0NgawRHZ1T392Aq1c+CTRnNtbBT
yNMtU2pywgCSimMQxBWVw06e7yYK2unRN+x7ZXEsp47jZYz1BW4bBVaw37Odo225iyKPHDwb5rFl
T+1WHxbBEajraj31KN3OTW7O1YgTKRzFuqmbaiWSnh95kPa14f5cy8RlSMe/zPEJTXpjqUnfFLgQ
nmafdneO+OmaGVYBrjwstpRfTd4IyfOujaM32Pj7KI+iJ/rXfa/HGvFc2Ua6jchBLPqMrX4xdndV
EZYX9JGAuF+tkAXAiSdzwUvlYLnpI+zXc6KNrHuGuxohyl0ELWJHJ62nfSa5zqF0twGjzZYw3CB2
8hb/SDhGr9zcoFIy3tB3WOJrJiTY1RFOIxcjSFTqPplIIlaRbz+hZ6WEc7Lj5CuDRlFX7LIBUxcO
kJ4yQ575uwmdVjTxZmygx1FX96DI7B0IkgTbzs6egdtlaKJYTPubLKMNyOvk7BnpVriFe23qDmJI
4lPXEOp3Qt+i1ScMT04DeT8wJo1eldDwoM2kG6Mz4oNZ5p8KNXlRwExZBlGWrDGrdyub2kFSoeTj
Z6BApyJKcPcqSX2AcjAJNJieGfWE4VaNDhG6LmzOzG4Jgc/NSGK4qJazyqa9Vk4wFqfbuQFUrZcV
Qt84Y8Z77DkHlpXvQS+l53XS+hezre1lTrA1jZ55IPH3TTxbc0krFPYWW6WWF6XS3xCiLheWjgmh
cQjna/bjDYO9F7Y1H5iR1l4z9i/0BjyOuPqrRsFZbhDgkip4jivz2tjtfE8n7UdU6V4OogSwFOa7
kVmrAxzU0ZW5kFRFLq0GORYDZo1LNOVoPJKdKaEjFr0kwgyngdZ14xViODndwvyeTYSuvHyqwIYs
IFRcg37M15k1WJegp2R47rGvA5piVH4O4jCCcqDnABPnBxUYP3FYxivs8EyNG06Kcc8An2xx6ZXs
9UgykG7g8P/djT4wx9J87HUXwbE/FS0fTccORWjhyG9GlTOMqWU+tunTGPf7IYw/c3T9pZjsH7Ic
PsZ2Rs6KiJRpprUcpIIpDbO4rQExY2R7C9o2obaO412sXpl/EEX1TQbIMr4r2sJidczK1eTiKOCp
FDMT54pjGsO4BeNK4ITyyCB63Ze5Qi6yEy+r4wQGYfXR9GrAXxMB8KoCeVBSyEvpV8qrJ9DmEyGm
coyfHZpsVy3BxvWoNGclLb/eDX4UxfA7COQOdgalopCMMSh5GKLwGQSyuaUx2V9EWGE9YZC/FlP8
1rD3XlELg6UNq11MCixn3dx0fk2veOXaPCrm6Qy4DPdWGBWbsBlxEyWxeaUJ+Ep8na1TmTH6lNN9
VXbarghjOFrclruoKJ67MsaSRam4aZ4zqojuqj5uH5le1PtC9U9FEfe4zkqTt0DokY6N5h6u/5Oj
7HQTFVp4D5ljPjLkGG/VPgm6tqqOhetf6MQBrDx8tVWJtIB5cm7Ru1xxP4fKvY0+KSGZ3xsYmze/
zkM7yWirkWgg085O4zaH8AyzLjcFNKsN3HmFfi/YCRhTuLWalKFiwdRhjlIqifCbcF341E7bOUXr
4OHum7BKVhMahJe1vnGX5Rz0+b2wgkOJujnf5LcTtOWJvFnrJT2n8oTYz64EoX8xah52ECPXWmAv
nVt4LBjL+y4LGA34ebCaQ9y8kVHdMBn26zCBT/F1BVI1YJHorJZoKZl2Eituam5VWYcXJ6fwaKFj
TGSGSFkDzP35pa386DqXfrQcrIzihgLfamaTUy4xqQJKjh3gBWlDe/z82jRa8ORqVGLEU5JfJ+ZS
XhZjA/OD7NoTsk0hdbCe+docPgTcI1dX7xlS+zaNtrYpPMvE3VRq+S1r4ntB3H8bc/rIoi7wrPXg
usD3bqdOyNNUjzYacjwtMSu7Rxf9loJN6xVwAr5uWGmrLsQZmjWdvmGIMS0Dh+RuQ8cTuQuGalVd
9atJxO8N+JaFlaTjgdrQ7BBEyDupDXKdAyhEXms6+rMPR0l1nq6pXUv0/UfezvKJokPrVFjA23Tq
KHrQaoeQ4+KCT/1z9mGggARi166Xx7SSbyU94Ru9NuOtyf8ygiMWRZHL1WALtvdpBX9uoHR4dh32
RF3d8U5mWDMhz62pE36JbTYt+cRdTr+FsdI7mx6/ESL2hEa/guUB4b6u76qZx7bBNKpwi9NQu+Ex
s8rES0zJuAVxnVJIY9OY6U1pnVSxy1KNUy2657kKEWONagOrlJaGKG7u/Ka0Aav0GifdYUjuSGS5
r4k/JxvOy8WVjtZ2N3AnAlwj0YKhySjyTzzZ8ZYll+IXEwiCbk8+HtaIcV/KsHNXtDW8EHP+nqQa
WE9IkGaDOI8sOBuq4t8jf5L3Q8lzU+U3LIGvt+coTrFpSd1Gta2qL2cCTKGAiC/JCsWsIyZbOpMM
Dz5B56Nk67xoKsTcUUtu2KZ42BKiXHcE4r2iKmqWPpOxalyRUDah6fNa/pFhoXPuUwDDg0EnJEg3
udaJIcgorHbOEClw9CUPLSZ7eyXMYRFUBK/K0krOKrOcs22l03PQm9Y36Btza8cx31k+Fnc4js6Z
i48+p8DORPfgfnXQxyuxH2gIolbBEfVSaDkDpTrpDppVN4dKpJjs6A47kLk3dlzK8RIhlmI07gcI
LmCBcMINz8RB36RdZw9BAyKjyU+QKKqzzmzQQ3rNlkad6Y8UyMEdUEW2gFUZ3hcc3LZ+0e+IUOPt
rMHh98D1p37wl07AW8NTGKygkU1s942R/HGefVS0FHtJDhB3mklDO6Ocvc5tj4VjZ+ewcxKeSCIi
QODqdLDAUbFw0n7zVGgJabU7WwO7FYzuDfj3NWTDi9DJ3uVWSxYCx7EWPqh2EEtb65plHcCE5+Ey
OTANB8ui64y6gRW4BH7fYmYt58bOy9m4qxImVabVXcrKPg9mDYjGYRds47Zatc5IHhqxE/W2LNEf
/AjPCDOjofPvIFGxMTZn+a0MsE1NUb/MstobXUGneIqHxtDqk07pM0dtf+2m7UOoo6f7gQFnzsrh
qzsOhufJMrUjM2r/jDisrQTgh8Y3z749/si19ucs460ww5T+l+Cc8JSwFHCdKmPkQ9RbXoEzW2u8
qdbKISx6SeLqjXnSjOUysQ8NXgF4zCBzRlZP3kf1krYFY25wJut0Mr+L0OIkpDVwL0S1Htoaw73O
XMkXBVw+NmH6hyHm89w12ZrKV57IjuQ99xmD7sYxTqBfvkQJEqodTm5Pv8BkNRaNjoDt2Iq/mhMq
s2pasTZqPX2GWsGvaONKpXpj71B7uQo6dpsOpRSgMLBm3I1xOwfrOG7bTYQm5BktOgw2cG3L0aRp
PUrE/XOXhgxKuoD40zT86rHO8n2m1xRp2QNJhsihFd4Y0a+zkSvL0NnZ5VVvfdtBZiylCY5slCZV
AD0eykJmz4FFz+ii0MlbEFe03vFaEM8fiCqZSCWPQAeIOUzhKnFF60XZZH9aEtMyrAtsBR2LoB2a
H2EUBQAybGvdaS4XpmqbJ6MHDsJeRcOuTHq6tLvgrk+y+G5MEcw4+GLHKUBvJfSrdob1EOVVvCq0
EaPhbQApZ3eETUC4Majj4ZJYen8K8ua9srV8I8qM+tTYwKQKp8VZ10aZrEZkyoXvsOemwaeAAwIe
A8wCBl8/jX5GMKBgolnyKoJC8T7tdHcjj8HpoMfHipph1wI46ho5LIWbPIcgQBYT3eTYYTErRNUv
xy7TwMipuTHLMX2l/ao71DwhvDBIyzerSj7mduBIIpsvA8NCDX+ywoDWgahjL2wAtaCKstgFJZkp
KwUP1UE8W6OTQP1K5bxMo06unFbj3EQI5FkEMbcsU5HHuXN/lpr1GbhdejcWOVO0WIzPQ+CWrzw5
lxyq61VjdhXv3ybZQyMrgS/fgdU+jj5cmwrzTJLjIXJ61hYal0BAUfLg8NtvQscAozmmJfYu2yIu
yPCd0yMjONGqJeQWZldslz1h5+k+i5PpM9EJaJScUluePAi5XXkKwFphisOecc9zguyPHO66kBBJ
gGtgJWDUEBXWFgEGqg2gr2ErIanDjgdXlmOpCt2aq4Bdzp1Pi91RqbJ590U8XzCLz1jJIWZjSoe1
NBuMYBOni1dJUnB0zWfrmbqfGXdfXAdM/rroVOCRIjGbj5+3WvslwInA6yX7Jj1opKdbXBecmgHv
+7iU6Iqn4L4fSq+KebT5VVyR8pnmld5wqqqsPN/7t3hSquwrdDK2Jr5C46h65TmteR0ybuJABBMF
7rL3t0YRzFtHEqu1ywBbDRs/AA/xPvE50ooSc1xiQqhl6XSONyLbsuVq4LlSXCOn+0l/cLNzVH31
B2j2g6HTbwBdPnXCY5Xbvx7I3NjaTnbRW58fyYSCQEo7f2OOlF0nsq5/sGtiQBub0cZQbf84D7p9
1adKe/RrAlTEjD/SyM4xHLhXq4uDcz+Oq7SzocgFQX/A1hYsZr0hHRnR+cxz07hPmGx/W4pDShbX
LfdQTly57Lq1XQAS0XCyvfrRRF0dTl/0GLP3Bsfq14Zhayulx9nKdZJoiwFm1dpjfssulsdpdC6G
a72FmtrP0wTMTHuNRY3Rwc4t87VISvZu81NIYQLKZO2f09sySfnu5DWK2A72YoNTsDH9rE2jupg6
Sg9Rk/kq7cZ+qhoyMNi6FfJYxKOeFEdw7mrVbCeDc6UjIhByJtaiLgJZYUmyJo5V+udhImyYBDy9
WVqNddLekkbQ8FbDRIGRyFk8C4b1T3gibntpR7BJ6CH93LoQE6pgFhiMzHWf6Rh7iozwEV1DPH46
uFBtCR4mZVM/lIrrLYbnAuKxXKbp4O94frOp0sf+rMcEJP43dee1YzmSZdkfahaM0kigMQ9XS7+u
1QsRHh5BrUmj+PpZloXCZFb3VKOBfph5SUdlZXi4oLCzz95r111ydnzxglebGCO4wDFy+YxCf09x
eCkKwIMmK0UZHTBAhZsyRb+hIQSScJQXO2v21JGKZSwpCMfb2DTus7TzQB+F7/4IXU7SYqWQH/Gv
wBKi1U23AxkkJBe+haR3u1c3diHTDWh4OPHQcuzUpA2jr6KIIrEpOzbAxrcJIZ0bYSv3nJL1gPwz
eqcsBSGpJIWFQ+8s61Q1a1820VPd68fQODfNU2x4FgsmL3snGzOvisCoj00ZecckaOOrG0WETYfZ
OVYKhlhS846zHfs5oaqFN4FNk+6YefsqZ9TEkfIcFr4eCRp1WOjd3Y6y4m02jK21rVQzgCqcU0ow
ypHDBaaElrliLwlNbAxrjnbVVHwkMcq+WxT6p5xNx5AcN0VH/sEbAbDATn2IxuybKnAQwlmwEEDD
XGH36XPsQtVzTF5l/iDc09gznZKzA0gr++ACHr09OA7tBPh4sltoZ/gCzDK4FaO/ZX/0RUhkfKYp
IsGmiIOfDqVXY/SX6zCNaIX+4j60E3v9qYyfzTi/qrLaW/Gdh/aJD6T01XGpaAzDiHJkg57fLTUK
UdqxCO8yGHve3CX3spjKTY+jbOf1dQfVEO5iSiIVZPqKPcpLRcHGA20r9/zeNXAit3duaRMAQ/ak
cC15x17R74xZHF0HFbMlnIkc236hmAYnmc6w+vATJj8kRfAU15fxZ9+385lH4YSa7rbMk3F/66Ez
bktUlvPUN+6u6l2eubLKz4yzkHpF+uzrgzbxTo5VLUFxvnd3naf4roHrFK/gBwARaHWHgoqGUdCl
hYrdz9qjPaaVVUbsJQyejAn6i4ib6FQM813csBQs+3HdceK+lFmrzhw4NURtXqCB+TVNjpN/NXon
32WQZc8C487aBK6/YnnQrrsesveYJuLm2j4JV6vRTYtRsyla9WEW/fwAgjHbVRHkqQ67HkCuksJP
OpbAoGIpRzIgTTKR7s65O736UeubxaBq4mrF77gmsZgXM4Y8l4S6rMKClNlcXGh75uxHD99DnmHB
QSEnstr4WMjzPdVnAAVr8ohTfMuZ4Jj9exAEo4CmkUXmKg0VNTmO6d6HBr5sXopACmJ3ZvLs6gvj
UnoMuhE5KYhyuXaAXR2bonEPU9F6hzRdypc8rO3PNuK4MAjMV5HZ3eLFIGsZ58XaJtpOED3OHWxt
brP3DWyqPljKIIr7s1ODXFKLMqh+xTjmqI5hkuQM/zAhpuu3YNuyOBBT9JAzk7D0sOmJE1GH/KOD
dkZCUate+bWSZyst8aS+ce+vARfEq3yiZE6SP8piokyYs5y9bSOHcUzeu0qxsKI3BXEszNb4R2bo
KhGKLnkjciw8/n184v0tACNAzsmucAYvQBp4+w0bUZjOtG85Jj8bje1aOA4NhofQsKPfckircq2s
BCcP1x+erBGj0KpIAM6mDbSCJTYDDFu9rYB2W9YPa6q5p526Kjb5ompcNyP84o1wO7qyvCTO3vC6
c9eUTsrWb6bv1dt1o+Xeysie37jtFDu/2n/B9TXyJBusFfhOVrGl4X/mSznySzOmHS4t7CiLtzet
gWSumCdgVw5CQc24ew/r3zq3Sex+EknIPtxsKl7dekZWDjj9GMcIJ9k7dI1MXeaIB9S6QzyuzhSt
JBKwZ2GhCC9E+cAPLGugKdU+bfJxM4hhbvC+KHa/SxAUB89Vw73RDZwFli5UGU+nPvrRJ6Hi9GNM
LzWrPnxNgLlxc4byeag1Kzox/VZhsHa74jz7SQFYIhy/iEgOXMUJJ/ZhP1LBOUOQi9kLT1nLgWXV
0ycFf8GlPc6aAzY8HP5na00C3D0lmBaCbY+s/YAjksbSimNgso9UNL56zALPfZk7x5kqhou5SHWT
tt99tXaT8KP2rLc8AuWGbrlpVfBelBGbkUiA4uu6/mGIqORrxWK+SaMKNqJrzVuUiPDKTseE5+q6
/KCj5U2MYbFN6HV8ZO/CWSTyur3de3gFwGg9QGRQLx5nJuawcJGXZjQJFFu1oDoHxf8pFF4EbsGP
L1khkdHLgHOXYOy6T2dHfIcpb8RVt/CM3dgOwgrZqeaxNVoMWOE0JWQwh8I/e3VD46rBPJ+AKwko
XYvC+Q2IS3LowDmwH0Kuy+IFM70bmxsWc9kBtOqug5z0YmRkumSflofFAzhmNUtxMnvlPiQyIwSB
FR9OP2vsq0KOOEoiEDdg592M6DKltAc4rgtZvrbwTQq/ueRVTWKMyrxDqFz3YJeMWvAVmpKRm2ib
Hwzzj3QYuZR9OhJWZi/lQ6IZCZAw0wORguiUjxl7FUBlq38DHstDLMf6yRqLUzaiK9p7I+ShiFtj
Ry2Qv6ma1rqfqYo/ygLOJq8dtgOVPR28ye6uhuk/Y/zlpN14cPkFMjptivt/S/oIFmhPMyjty/0j
GpXFHGhJyPGEIZnL26PT8JRpraLaL/gSoKuTAkhoYrOH+EyxDP0HapYXk+QEvyMOW6AfQ9X/fWn9
P51QuyY/26qrfvf/rj/zzwqqUcKj93/9+1/+1//jni88ELC+kn7+e307pghtEfi/G73+AQczrj/a
pE+Kv/i8fChhf/z5f1DC6FoXOrBGR49n4u4imvQnf5fruRJ/Fx4IC+qXx5fyjxJ372+2NB0MA45t
YxOXeCj+4e9y/yYwFNjS8SWOMRJv/x1/198pYH91Y1iOKcnb0QsfCL7Gv7oTCrtrE9LitOosTahT
a/6qCJGeBnRtSDOyOtnw81Nu8NqhMdmrtwjOyb5vdKTaaehRfLVJjgdBhyBYHC3psAqI1aUWPmhY
q4iPSR3zJJmdtwyQjVneG2EW3syglJTAWVQDEHGZs4cGG6nLm8mbmpuVlW8M4MMviNxsjYX9VAXy
q7TECRDoI+EJ0rr5Q6ooJ5nm+imz4MniIo8KXezeKsjD5q6lg3Zr1sXyE9I26kDyQKoD2mgTrhHe
zqxveTnY47lNoaIKkd6BSH0WJmfxAiJA0uxchyeAYKk6JAILMRVf7rS3Q3vrEEUKNa4wNh8ayCbF
6D1nNLd6UBBmAsxJH+wUFmmOOVc8NixnQaXk8UaTcpKpg80xP3VaEmD63wub0o84/sztfrMMxcUY
jQ1udyY3Yxe4DoxyZgW6FgkY1M9G26z7KXpKcgcH4jd/7k4Mv3yCTOzuhA6P3QcN6lMZWA8mLDF3
gV2N+IU1NzqNhGIVvEosEVfehuuS6tzOn9/MFtRsnE5oAlZ8xJF2w53x7sj5O6y65GZN5JC9mrqU
pXZuZg/To4V5ujTZHk5ysQuc5a7rSJHLlL5a+CZy1S+Ne6mqMti3UUMY3DnbcfVh5d3vFBiBMBxy
6p67puLa2EwRce5JeKsas8etkUPN2QiARSzC8a71mvQ4BBVjB2PIXdJgRCMvlWyKMhVI/D7UpTRu
/XubAsMt/p5wA2uHmqLRC49/usn/E5+aNun8023iyoCEWUDjNwcUDJd/thGlJd7hYMAWVzSsh2rE
DnrJCV/NOSvuoDrXM+JLCl70X/+1HPj/k784wIbHo8C3yJz+kz8O7bH1CoEuG0cDcAQ2mpldwBuy
Ni1BEwkCeKWS2QW439PAKHmjZLmS0LCwATPnXWCsM39M95j1932/gPVW1cMIzgX3DjCJ+drq4zKn
t8wZbliZrsXC5m/xOJQLPG1rRu4LFYvwEdp9GqHJxfYLw9APJQkbVXW/F7RYnivR3SMzI/wn0uGQ
QvLE6537Bdt87BWY7QlDGIX9bqbNFRt4ejY1YQtP+ja0aArzs/vRq77taP6ssp4EcXVKK+cVchmt
gzHvz2Ri86/Im23qQFWXgjbZfc/Ispm4lPedLkGlcrPqTirr1ohSa+GLNcPFOoWVEGUpYT4C/6yk
WrJHI6GV2hvPPLOn9UK6yGmLYd2pcZ8x2a2DAv6Yj+mdVBsRLQxf1H133XGmoqKO2wNtRifwo/dO
abPmgV8oa1gQEcNNjQ0izMMXpKNNqTGpg5seDXPyDrFgLw2XodiPbrjNjUrtqrm5OjWeNLfrf/EW
cfbCbM6GbwDInaLfS8/IhgVpvAJsd7a1O37UMUmUZZ5getXzsGnrbp3Nat97+XbyHB4BxpY9FauD
7OgHaLT+0s8HFlRYhuhLB8f+lFJ7dE6tz3zEKdPO4LLCodrlzMuecMZHe6LbUKIjPS7FTHY2737+
F5fzP3nh/vBUe+S2cbXiKPOtf/LCVWnSZsLH2jrleB9JmC0WMca6FW+oXhk3c4egQ1cnVL5fgcev
O3SItnjVyHdjUs9NN4vyAmwm9Q515fSvv7r/aEy0+DnjEcThi1ao8+x/vsdDr3bDOKPQlYPZrjFj
d+1MEBY4oP0XDkjN8/wPtzUvddshKsLfaVv/fFtjqwQi1jL2VHBu1pXpPaZxs3XTGkedqe1wfuXs
aZR6xuqdXRLfIwLQdwQtaTJnBJs2kjsC4xsahsemUnbgQ7zM/Rn43k9zGIHxBUB1TLuhs83dLEb1
PhBXyAh+gRaMjilvhFXEZb/PKVUdc4gLywK51jCGu1ghiKkWeaKK+veFPpttFqXHEo0NyEhQb8ZM
/UgN3mbDsFyhevAcAZSQAUzwASeoOp83QR5Uu1mTFcwRo1yYsgzQ1IVQ8xfyMN8LgAwzYIbJh9BA
2C+A+SL7NZ6i7BWyi7xjeXRlCyRY4UF5mHqMb1xVL/i8HrMZpSfyf/A4jtjfIL/NPAE3Hct0RPOF
7TQoCSiI8BuBS1AZCF8XpU6CnZgi8cvRHAqavH6liuZPnnHfZWrceyArrD/YFUAsck2ziJL52IO3
yOmVVQstqcbYoJtpBoaV0wdkgcWIbeDhC0kiKC5I01HKtlyDNBgvW73x2lRm+rOFteEP0TaEvRHE
au9rGEdGYY+VF/Lkw+nIqW9bp5A7MFjuM43ySGB6dPGwzQP+D7hVreZ+lOVvqQK1jSrjHDaULZh1
hylN40JKuCFSJDuIPDs/9d9jGswy3uprtsgEdhsCmb3GjwC0o16HdQBcEnrtSEApUCVxC3sFdknh
RPmWTQxJ+BjeNHgTZkP+3qzeZxMtEoCgA5L1IO6hM9IGAB1l9tU1hZZC12m0k/BTeCPCXpR45CxP
PVYaslJ17HNduCu55q8YxKJIxbwOXXM2NaJl0bCWCmqLzP2TqTEuITwXWafHFr5LB+fFh/eCttjh
3+1+9A10wA4mDOaZ71JDYgZoMUnOLiXRxy/hPgh4MiIy105X47SyCddr5MwQm++5htBEpUzWHVya
UnybOWtYm5MGJFfQNVXm3tczcBMJ1SZ0OFBOcG4aD504AHwT5tOWhRsoJNUdzYnXqasxOTG8HDNz
TEKT3bFv6x+lRurMGq5j0pRnQ9uRSwHBb9IAHrd8G9oKFEv/u+wMkC2wegYN7QFoEgFNoD2cbQrh
YzhUGvFjZoCnNPSnHfDfRUF8g5K68zQXCI630KAgSyODBOwgHpmDRgnlGio0aLwQJRf35CX2jQYP
+U5McXUoSCLSzkZqE0BRbmUCUD8FMrInqeyzMa5GbDaLRhuZMem6ZbGOxh/cI39owW7DQqJmg4LK
EFCEqUFJFsQklhyHCG52CUmJmumNxLePhmHckXEA6OkB2rN7bHWaw6SBTLFGMznYGgBpgA3aLJCb
DJpQLx4sJ/K5vzhOWRv2LjmWVwoklUY/lXZg8C357IoZtqFDTTFBUVbyK3wUiJcaITVrmFSosVLg
1fa9zSJCA6cWe75EPkauoiVW3tfQCKoFjS2aAwkYrMuO7B92zEOrEZrVQu0zgHE+p9KoqzRof2Ic
3kWOhYMQGBaIkH7N54ZJ3ti0bHaka22qy7pnSttfR9O5p7lsZ6XdikXgadLErc6P18bSfdMCTLwv
BxhCmKGD0SX9WGe2gAab3OZLoF4j1nmtD3L4fhiqa1pnZxxHCR3ZNcQht7YxayzoyhoNFjnJuMug
hZmB/Ul+umRVA++5cjAdJMZ2msN2HYeDFkfv2aatRWxMmxoamQmVrNB4Mju17kJ4ZZRGA49vaWcY
5PDWwzRLXIT2sgqjbamBZxPks4n0c69RaFb1ExbrPQPxl1ysF0gpH6ZGp6Uw1CrdJQR5qdsYrX1n
atBanViP0g2OLZu5djJM8jnTVzwI7dIB02Ys43ywNLptRoiuYLlZvGV82G6hX7h7ktVH18ecAZ05
6sOdhAbn/YGFy321LUaWIoxp3y4dx64uO0bMf6lpP6YG9pGr9JNH4penL1lIHjuwjc/DYlxl3F6X
nqMHfcoevcp++23RsowWsyuinmaUCF8f+NFrqCuZ3Q6mx0RLs2FNL2PnyJPB04m4v/2j1JXOrvQv
Dh3PNsrSKkncp6BRZyvOWdMSsNr43A3Daja1fq0Lo6Wujq7pkK65XVof67Mulx657Cefuml8l1wN
uoIaTgARRKvMr4OnLHx/3PYLSCVXcOUgFa+ZEFDCca5ETfpSmryoahqvhWCfQAP2yJqtphFbL8Vh
csC6XD78tOi2vDj5AmraVjxdqG2QZ8GkDdG1GvP8ftLF254fPiXIW6Wu5KYND1InC5F2DJ4KfNBo
U+nv2IWKPYKTrKf6m/acLT2pb0EuXsy8exM0gDe6Ctz36U5qcEw7Af1gtN4TT9k2uj48t4oXZpgH
4mDPLv3icwtSIqdxnGus5vEXDtv0jzryPGYhqSvKa6d6DVNjwGQyU1NAj3mvC82nybw2GNJXZcfN
HTne2tb157LFa9HoSvQymZpD2al7pevSkUQ+YvrTE3rUYXkmx4FwcknD+gCWLteV67Wot0qXsJe0
sVObEtIyQzyAhRPX6KD25MxPrS5x50hWctWmx3rR0dEEeVmnlZkGiAFHrKb8cL7rS/hlKk2vZj9d
J0EzMGZeeer/KJEfTBzT3NB7y3B+9FA0YTzTOT/r9nm++V+BZA/IvslcsfFsNvYiY5JSfrjp6Fpb
FXOlVhTTHcxY3k88w4gpJJ9FHz3xhvnJc9fCOdfBLEmLezvGcLqEeb+LiIErj5fz3APHmdolXifG
cE2dadc71sFsaKJUxjscrrOM+20cWM85trWVaXoXmrO+mlo8muZyZ3RUUQzjXe7m747XPlL188QI
cYTJegL8sa1kA/JmfPPc7JxnMyi4ChCROJpld4d14sMx4l+uUZ8ZF85GyZPf93PwEFP1M3Fd6IAp
dch2zmuT6fKknBheQUeYPuyiPWc4e4N29NFnSw/ArHb3qPgRVbPW0XMrJOCuEEeJIbznuhg709qb
Yjzz5N+1M+9xA+ZRHk/8y3h54pgP9nr2D0lM1aYRJfGObqp1XcZsJSrdZm2+q5r5F9tI1ZTlbsiJ
iXdIvmxfT7Heck/lM/kPH8JIgkNWfiCcvflex3LvvpD2iz6rY6n/4Ff76A4A12VdwrL253vT6l6d
BYhJFcTFmn34/LVQQjI33O+G1bMx5z5YF7N9tbEekRHATFBY9HbAfefX2tkr1mcRD0h2lkZtFyyy
IA0SyqA8yrd5O0fFa5QbxZ5cD6mcNgQy25GEc/niU/93H2VPiYqBCrr2cyRDPqV46qrxg7TKdhjU
poSnu+Ly+3KEgg3M7JU4x5DMD0uagiGp/HQD69GvrIdCkuqPHfkp6uBkdcYEbhAstW5TcaIAtcu6
9eCD0c/qy2jlw3YMWdrImI2jwFs/4dVJwC5XU3onwmRjRVQGIszBBmJ+L/R+f9ZQ0GpDlJnbGuJA
y8SqeQigxxv89hW0Y+WgFQzTRrlfGsah/5NZOOvRCGhtI/HHf5IrnJ1q4ufGUXL5CCdjHYafzfxF
cga8MO3kLoVJprk1/fQYlvIICHLrD+VOLe3awydWAlbpJzZF6nG8K8hGThElKaFuGm05lnNOtnh+
jngP9Qlh4rnAR+xR+AsmztBbB6cxsYdNwGMtBGsQNhg1IAzJ7kcKJp800ioVMSl6TphEPovcfOzS
DFwVAaXl27MUi1HwR7zPC55VGZDdmp+IpEowQYFz+TjC6ZrB2xrWQgNmuA34iIsJux/Ny02C/5Aj
qEPgnY9cXrtmSPcVHy0/O/hLvceBstcfW8K6iqzNABym59+xFzzaEMZrUR7jMQKYYx2bsDrEBkaU
Jfy0neQGxL46KW/hGlfdtnXRiOkE3iczbkjQ9LxMZt7FYw1sltpvQNLdNz3kx1wInKneK80x46rm
wCs77yO2nPmcgLHcOm6ywbspNo0P0QcMI+GaGl/plyi7s4rmr9IxTwFQQipzdi0eoA33R7sfaYfd
V77z7JjqFfUeBTvxXgi1XicHiw9kj9uo302tmfKEGdHwWDWpFTbiCxlmpFiVXftC7o2Y10xAjmnV
zt3FJJ41OGxV655Xutd0G99vfox84cNo3Zose8rcaGsoF+iM8ignJmTER8SAVyMwDlUEuQSztr9h
E3dcFi9eEySsjm7OAaNyb4YupqEQKsLqEteXYiiMTTAm0WliouTdU1zBKz+mmXNI7fDChOBBD/Uu
Iymxehrx4PgNZFbrRfjAjvyFXyFMuNhR4CpUsEtcnPJWqLkM0qTytP4VNsOhmeS8G3iNT8hUKe1M
uLfxpOGA8DkMFfGb03Jxi0hTrmtstaVwTp4YXwdW4TQkbz1DXFKEqETwD3dw70a7Phdx/tVwslH+
9DVX1N2SHt+pXjHkVdGHQUz0cUrzHowUaTkJvO2U1v4zPUGfWVg5sKl6++D6OTCpPNqLhHInBYLm
iDGOyk5vMK9KQ9fE5KM5wFFJ3H5mvhuyDfR5lvOcdeOUtRmHNpytPDy6Iv4sa4MaQBJsJavdzHSp
Byi3JkJEBf2ffYd/G+J+uTOjOSNp1GH4HkirlbcMcEYeUPWDUFYgfCY7HGQw0XDvYDUjCOlRI4LT
aHiwIbuvhJqRAwleeM27NTUYMmEaxXpAxxZuwhhbIfpeu3G8FnZ7GVT3RJn2iQYsRoqURwun+CUJ
vute7jw7urjkQ62h/Fzwfln0eu4TTrhQKiwSVSlHafPWLPaxl+ZB94JMpljlGNFH7PKZyd9Hf10f
Ogf8EJtYwMJidANS8s5nLPBfkxZzJqrwcqHu+qG+QUG9I4W+gmy8HpL8uUFUxSbWOPwAupc0IGFk
4T+KTS54N06eSOPQudTNB2Ksly5wjpMR2mdVO0wgjX8FG/7kOhZTJ5If3v/K618jgYcyL4nhSgjj
g208qzJ495amOtCW+OUHxXF27aMRupchNHZT41GxYRjPhuzewqzTh/HhKUxCsKd9tKkl07mmxqU0
qWS5Q1jSOLCWg5QTY5nhl50umnXbEpKyfQjwxPmTtvHPLqa7deuX5sa0UQJ69OjEQaIwgvqzpW/G
mVT9MEgO2wndXg9hnTzkXfYsUYo5dzzxuLU2EOiChwhJ7r5nr/TQcVzG9QENESWR32H3kLcNTeMj
s5M1T2a7BtXGHrq0D1gZUCcIJawV3zgkdz1VpulpYR+yyiLX2UQtr5uu7R+aaYQ+5SHXFFazwyor
ISYaTwQb8cRxHQl1m/h6WzUSSwJJYhv4/srK2tZ1ACmgvyzN3KNLNzBCKs3A8U+W1WVbrvDXKSMP
K1XyK+otfLyCUQsGCpIiObmNrS/5xI2ryzBMzWoZ+521ENvzPHwFtjtccamcqGg9DaqcLmoSTzSx
hTt7yFhXcebF3YyBJDHyAyoWRvBMW0dSTGONe7Q6ekKwPEQbCiRfupxwoZuND3mUmWenl1dT1L+l
6b46HlVoCy11nTDXKrKgQFEJgWTrcPeRpsyG5LHzaQRoo7bHKwLtyPHcV9Y2ktTy+JQn5XUpXJ0I
Jo3l98TYhkg8Bgh26HzXrkcWSm1i4jyFN0ax0AoxGydKJ6uVaEnsRIy0G7iDuIhxIjeZHe3LCVGB
o82ZhmQqymb1xL5W3ixKlP6+Bfqf3sf//7Vp5/px/mUN1+HH0P8yXpNf5V9hKr6Gwuo/+g9ebGCy
Pw8CRwQmHLaADdrfCSribx77cSgDwhIOGwew/n/esDuC/iKOYRqE8Jf9umN7HlVcrGRQb53/Xg2X
4+qtwf/ZHEpW6h5fLfl/1rWOJ329EvkTgIC/JAq9RpSMjyPqmpEeZzqOOXbER6XxAyzVMARFmOHs
kRd7v4+JCPh2dMRLxDq42tlTuBVLC7IJ3KTppI/C6g6NQT+BAdGUdNFRYWujX4+3mzJBPs6KYY+j
GwJG8TADa+nD6W3m+qxBqWPK9N1VL627OMT2pzwaPUceYSrwnvKeYs1mGb6waZvbLtVuJL+t8Cvz
Hs+gt0psLmXnvuQBVix2UCuwSVhjsp238FEM7Mgtynr6g8WjGEycYvs3ERaQ0buBwwYzMa4w0TuH
AiMP2iABN7kY36zz1nHu7xnhqvOITxgjo33zqpoguxns8sq6hawxYxDRJDjlc6kKFsc5cyQ0tHQR
PFtMjjPVMQuBlMjgis8MyqjTvscTP/isKW6ePV2jqrk3IFXRtk3iognOhAG+vbT6rOb8h5PQfN0U
Rrj5w8wz2+qpFd0+luYdMzdLC+agxCJPTUfszugZ61MrPiwoWqXDGcmWGUyS/I2zPCqdeQ6D/DOU
7rlx1N1kq8d8ERTldl8iGdZGC/Ap9r+ahX112B2nEkbtmLfvg+29mDV5Zz/b9sN0sMmt00y+clJx
NxvLvW9LbNei/B1b/XGSyYNkZipTNNemEZcoye+D3H+nPhpOidfuDKkyZtX6Jcz6j4Xj+Lo0wc0B
+LzaLjEhZ7JXvU+Ph9bxRsLl0+juvWJ5RaeqGI4KGyy8Jw2kpqzhdVJcO2pks7ne4Fy5wnd9XFq2
7bkvz5P3LGsOIEN08IGXhSHRDtHfmgh2G+BOQCwxntVCRBfk8s+B9pD1jGS16QgwwYw4lVNzLSJj
BwUCN4j8WQfxKZzAp7QRKBim+JJROc+Xu3CCUZiNHgXc5OZYDtkfbl/tkry+xPH0FmU9xD5UjS5C
DcAkRTwqPptDC9YkuLZTeJg4i/ayPreT+xwCwG34Ia0UgkoyyacWvkRhiV2tuIWAqPNr95wHi2rb
NFgOA2wGr/CZ3RZqr+ZyXDUIGTOpfgPRyrGcq8CnGAQ4wxUZZQONzIN9ifGMroxxeTMLbG5sVy3M
lIA8l96M2DPXX7FjXkrVb4caW/Ks2nMyqN/J4tGdkTanVmkUJK9MaanfViXZe5sMaOm9i8ZI2eo+
V6zFrPFr9vNrPg13reAQCWnVVsu24OibWRRoh4UDThoZk83DbmgW/ILOus78TTJ66wy7nd1Ml8GZ
Tk3cPo/JcOpGZ+t2dwWb/DozdmYQl9tOiU2SUWtuiRjAZzmc8KTGo/Uw0KZQ+O7eqjkXDtL4rAeP
ctf+OylAFITUqs2MXJPb7ESDtRPFdwXX6tqVy2/DyC8R+ARkcobS2IkuSQqtL9SyeDFuyATCmSrU
V6jGd7ulLy9267ciw9QCbwAimx6Ip/QH9awUb/SrrvbeVZy89mxKMA8eFtyfQTIxnaJrzEV4nUUz
7BCxYe0ZEftUr96zPcjXObvSk5tX20qEJ45aYC3LxyAOjwslRa47PJaVDXQwoMKAjWnfe/O69NSJ
KbTfyrq7CmdmMYK7uJmDO86Om2ycTtXC46cqqodgbClzagzaCqMDSf0YzyuL7TTzftgjxoXW/ZgE
6X4fv+VcEfOoYJ9uVC0/p7LK1nwHOJTNw+QRYawrEH/lHeLbOjXqfWeXr4lnXDsj2KcUzJC/BaQh
GQv8AbHPF7TND/Mef/vOnzg8YqP6GNLmnmDUPh6qfT9WH7T4vRMSvrMGbNPEi/ddZd/5vG48i5EU
+OAKZAViZn4Y6NwrVEEpVoaVs8KBzRsg7dxjG5jfHN8IarjbwJ4uzHw3jGQ7I3CfOmb8VH73FUkG
MVIX4qmRE+4Sro1ZbALCbm1SXCGybjWeJxjkbZ7DlyFB1ac2Z+PMwT3YUh1ofiLdFzKTETvjIZuV
HYtXu4Z8M9u/vJxaKfAjTx787LlsL15hHFKzIJjBE8ITLvrIaPMYafqLTzUXYfnHuGLDl+QhSnyz
QbI+Fq4OMMMipyTKwOhBePmXxHUNS8O+5Y6PyYwWtX7WDAnuHGvpDqEDjMGYqEuL38KoT7cMhdCF
w+jJdZu3WUU75GpqCOL8GETVCd/zxnCmj6SZiVFaa7O39l5b7vAe/J7gXrr2UB4wzwJEqa6LNN66
0vjlKv/gLFMF/WIQ27Lnhg1GN4M+yuQZuy3gFpJldjauCv00ouKHCALrtow1G2bqYNEF7HH0pax4
b0jq7kTf3KLel+zPx4eU5nAmI29nIPEb1ddYNYc4YKJemt2i0jVR2pcMFps/OJwPrPYKnJqK0Obn
kMlD0lLL0PVY7IxTPFW3pqNFE/nKkdbzOJN1FyCQ5/mEPZ1gOk5ppzZf2FxtKS5f40pcC0m18BD9
Nhtr44TFXSnNe9sCopF7ezKtOPqWWzr6l4kr2SFLX+YM7VW2pSYcuyy/GcrG9k223LdEWgsLMbAs
zG9J9bECz1JJorVZte/C6kEMinaQ/pT3tNhQhH7CZgK4tHTvW9h0USR+xIgUI816vEppNlsjjRPR
pVtisnd+FH6TZDmFJldXRE/bwiejgk5gv52cdh0F8y6M531Lk8pqTqtfyjV/tiYLi666cArdTHG/
bhdEspGUDMoWQykiAdgEQlYjYeIIcnIStroKaX4TovgIFpInTZTfUUzxZaCp19JKQQ81Ww/WhBWL
O60djSJ8EQuM4yC6c3tzl5HJtSmAX3v0KhvJ+LsanVtt9Fsy1m9B4322Iv80J6Zkmn9eeCVvvI4S
7dx7mtNpE3VcvzO51UU+mU19qNKKzXeznzKH9y4pxZXTVccyiC6NOR9ckowpu8rOJfZOV2i3yL2t
psP0v8k7k+W6ke7cPhEqEol+ytO37CmREwRJieiBRJsAnt4L+m1Xqexbd+Dw4MYdVIQdLkss8hDI
3Pv71vLzTT1xGZuze7ep7ppOvUbDJ7+D2zglN2IudrF2M40OQvr51pzmzTgygOJQUhCvKDk+dCWf
kFJf2VCthOqOAQdGq8WN6lgX1+x/dg2lYbAqpOsfnUzthfk4RyHTtwkihutsCU1ulacfIvzhVS9f
Mpe9DU+Er6GSn5FVeSRkpttZJHeTERxaxr7hHH+fNL85XsUPN3j2bGZNunnpSTVtJrs4ygz5t2sd
YwEQOGieukGsUo0Iu5QTlePi5Ls/WQYzWSui7ykzt9FlLw3j4jZL1ZG60DqM3ItDPNRgIVp0+i0Z
TfoYin94plTBynVMnsdAU2jJtLFz74cGdVgkPywzKO6+xXOxtlKyGn5xALW+ilT67KfDmxn1F5X4
t2Tuvsdq3LUuv91J+F13+rtpT4dWpV/w/ioy5r/Me1fhyQ+rK99gWK8svHprbRYglTk4NiUhD3g9
TB99664NND345upl7WPTMGwoxYtTSnMlcwqrKnOrJ0/3LNP1KdXtwYBJlnOniXLJggp+dlCicNLX
ObWeGHzx+8sGKZXeEqDHcNubr0jqADV7R0frO2JLz3yapxWmGJpwkmpbOns13HFvMyZ2u+7gza4c
UlGMTgrNEYzw5TAF2N9H57uhgoLXUYKagbklGZ810ODHLsK0xKAuMuqrSPsDrSRyrvktZkgw3S6/
Bf3gvBGL4NVRg7Ma0mnHkoD3TEuPoP9WNuQB8MFcRJs9RHO692s1b9noYoxs46dIJw4Km3TegCU6
g3jt+YLMfc4rYWI9vOq1fdZsVqo+TF/avqIO4FbQexNgNkggNzXs1nUl4scxVQ9WXbXUKBPsuuZ7
WuVfsCwhdLRkEIJ8+Om28wv1lHWdWD/ryHySIadYZV28wpeQvIs3oBiv8Py/Zl7vrMvUJQy9nV+J
Z92DVyiH4UR5cJ8q22HlVX1GMVlIn+9F6Rj9vohgFsCefpxbDIamG0EsVtWjJQHaJCHYLG6bCMuV
s6HAcexNPubKxHwbZ/42gf5v81qshQ2HKH8tw5rsow+eSADMLXngXEthPltebG99+AMAHnh/1PnK
aSxQA1wMk4wfPf3VWofrPIePuPyQc8XTmeTodBrr5tHw4XTNqtiNI5Foa9g17hDzMpFAkeOVMDX/
ucXjBMzcGKS6AYoEfZwFPrybZ6MI37IedjBnuTFaKHS5+Qp6j0lot8uM8EPV8tH2szuz86GxLY/E
7gIriHabWnsu8RVp8MSrSWRg4iCoRgtUfFsIxzm9UYM2Txy59w7aZNhTp5BHVNM725m9kRfHl6DU
x5xFYZ6q60yjF+wA9tp6X7n1JndA63VceAfnAYrkRH1TUUbq4KAeeTXgpc3Vi5K8o2dyE2paFgS3
WaafQKj97D2GmHbSH+bI3jFM2CRz8aSK9CPC5+nh9bTblueN4nXrQiMzGA1031M8oMUYvw2swVzy
gFYene2lDGPOCTQODsYVse7EbLcOblG4GxujhgGIc5Sp7yNF6zUbAA5HYfkqsJMWLEN4N8od8fp9
nydsEYoHFQ2H3uvupAkKr/c/HJioHDyx5RRjvZ5xoSpC/HAsbnoOYrOsbiycqcUiT8376DWS3h4M
81b80qsuolVcvvbaWuSrgnymiY01w8rae3LPqoiDeP7gLNpWgb+V3F++gtokD/xOWHyD3UOD7TVo
yo2F/bWI+9vWSInLcisaFkGsHpNnH2MsILVbmJc7pjn7OQJUli04anY8ONuiQ9U+efQXukVCazTM
HsfU2w/4aXOFqnwR1haTuW4w2NL3oIKp6NFHz9FiuJ0IQ0f2U4H5Nks4/XJjehpx4g7FCPEQnyus
hjBoDkOU34emPjblj5I/GM42eajmxqE9v+aEzyR8WslQXEzJr1roXXzcvEOa7wmzfhms5/AIDWwL
YuOmcMePQubbYvY+6nECmyCLTVxIHKXL2TDDBjy39AGIDhHuX1TB4JjqHYHdZlPD+Bl6evy1rFeB
CmowI/S/rIgGKvLh0c7vXGzEdQfXCTuxEM3njK24Zb5AahSBMWmxgcuzyZnbIdwLg+6REdEPaSmw
cgUDeVsdlWtmW6FI5o2p8w5p6QKjkxZyfA677mCT648yVgBsvdvS2TXYlgEx/ugFbsCauYdhfKYJ
5HbszGDHTtkSJk/os64aDM6C3AVzbfvGxe2ccEOFoPSSVMSIC4OfRA89Ehu0M/Y8h6f3CUt0zMKX
6TsdS4NgyDyso9JB1FQzfMEFXZjndBFOp4KZCBiU/pCw/rnhp7B3Z9BS/Z2V7RmzJyUBN/TVadHs
CpaTecaOCL01AUOuocAI7YGz9GTyPWZ4v4X3fpshxy4p2Kf8FNugeTUzajYttHZbItlEcwXvsFjM
4hrlN3lt8AglPEhq6nPlAwJZRkPui0dcNksxVVgscOLS/B7Y1p1C6V1x1eFNLc9ZimF6sX7zIFhI
u+FLO8tdMyFFhqiyysMQjXn0mvIIvmk6+c2wUJ10qjl5Wq0tNyb5FT27Nhj0fIw+6OOtmWrC8yz3
ldE/JFN8nbHX9PzaSms62lZPTN/gRZtPrwkcg5gacgECqGiC+2xktWW3yaWnv8NVks4eyaqV38x8
nPRZjf7MizuIVhazjZViRYT7Eu9EmL26XlyuctGMvHky0FzJifrjqynkU+iUhyyazkXA2n9kXx6k
Jm3G7M5mFXVDOW/m26oZ7TRwgFp/zXUiPPRVxr4W4ACrspXuJF3jpLvNh2C6bwvq6X743pSkPfy5
+BbaCY9rcZ/byc6b0EjkAyeGMSRjTemfV/iikTdpAQDq8bpNQ07sQH2Cd6jrUFIyyQZPeejxqZ5f
7eYx/54H3MPCO4L569Bn5Vyn+mdRpatgbh+qytUbg9GeKKHdOCzxJrIWxRgcRkue9VTcKg4l9UgI
MSZcUfrPM8nEYgG09nEDgJScIaClLcUv3Mujfduo7s0J0++YPF1mDsyJw2S+VVEG+TMBHyMHFmKu
MvEpgrGBqgZflH/YB/JL43dnCHyb0um/6JTQqNAp4UdSSEF/IrOyAxSQkclhe4o76rMrpnfsZedm
JpVqdCytO/WliL1sJtdGA0XIWozniaOaTMJvc0d3uosYBxVqwpBhqm84NBZZQ/ow98ODHTm8Ldtz
ZjfbCcwQrKZ1h2wj1TATZXLVOHYSzsL95By4hxDlirL7MS6I0Tay7a5mXPGujzvgfey6B3O4VK3V
7SMfaJ03tndlwQkCaxSDvIi6BxA5NpThkyNtZhr9qQZ+aSm4KGYMAcOEfmGqYBeY9ZLSTX46nv3S
z85LV+Gfpu92nHte2GFEcqpziLqxdfZtd1tl6adT9g0nw36VpIRGcjpvpfK7bTYmHJK4Af7vFDj/
31oYeUxo/rGaydOvKn/8/L3Q+e//X/9RyLRMmwq7YE8EdR8aNH/gv5ZF4Pala0qb/xtNrn8tfv6z
jun84VDTDgTdL2E5hGj/rGPaf5Cr9dkh8S/IX5ukX/3XP+nn7d/+97+S382lzfXnsshhueiwyOJm
JQR/oGUutZG/LItARgQ5ASu4b+hMV4xM8ks8jF9EtqrNRBEM5ECOGQZcH+ELhjdSnsL+xz/XYMzf
Szq+afo2pSbBvsqSiAf+CzLbs3U9KqItrUnNPlN0hBCLhDezlz0VXNl91Fc3s6p9tH39JuxSdYit
+gOVydqJLXYBBRInhoWwaycycrQWd//8FQbO71qC//ol/u37JKqyjoUfco7Gu/fh9T2YmCAlLJVE
FRgMny5C4AkGBoS8e41VwPer546I+PNQteO5K+PhqzIHXsz5fJ+V4efgDHfp2J7Y87KFCEga+X73
QvGooMFibGsX9zCAre91OL4yb9oKw9qZvIXGKX3v+KZsI1peXladjZbsp+d4UKC4za+tMu12jQ0z
h/YtD08TvCfWOk6XMxeyQ4bEbO2yjDyGLOcYbIphL+r5dTZFsiZitCsc91xpXtTLWtuEtWdDCMp7
uv0hQwVSNtZ7OujDRFH3poFXjLZqZ9q1w4VluNHNA4W2DvsO7TQQFNW2yK0NAAqbWgiBTxMfvBor
lGlpzSmCks6Q9bu2ZdmQNFFw06TRNR8LkFo5BFbh3csmfPPgUpB1L96LsXu2fIPW47gTAVNsJLNX
hfUWAhdPdDcyTmmIQqBm7mDQweEWuYVcuivhnN4Ebfk+TcBBhj48xWwqZm/eqJBFGMWiH2VLZ1CC
BxgxFzu994HH4U715U7N+scMuoqXkLGdopyDiNde4tJgCxB4W3BN76WimWoOJ9VY7kMSQ47zPJc9
af7DCnIGn4Xl3pS6lqugZ9QEZcK8CcRyLogwZXnAq0PfejIiXl8amXcATWzFHweDpI6/W9Gs7p1M
ZudU1heupk9j3321fCHboZ2LFXbdFwNmxcZqonch5Socqm+E76591r7GJt84P7YVd9oGEXbIQZx/
H5letTLngt2w3b604fTEZ+LgaQRYdhR+5nn2CGj8xna845x2/mYBFdiDfqIM8mjF/o3MuCMUHATw
3n+YJbBfB1RrMR49O9zz6bvUpFd74hN+wiqHL4Kcw7htA4NXKexrAGn63oN4sFAXge7Z1TEsSInF
863tBe/t0N0ZeXEJdfqKR/6T+eQxnruDgTblFGXWxZYey0zFkjCvHhsm6U5vfDpJdBd04QtNtoRP
4fzpI2JY45w4iYojTcBftQot+dQ2JGU4jhKr5r24rXqXn4ieznNPabEPMPrQvYj33PaLvdnV4yYN
nL1w+68eQ9YqyFxC/dbKbvoneBwLAf5BTsUpjtnv6rqnSCa3ZeweLMOhoF4/phOxM+Ie3nouCqZk
ipNiSwBqO3r50WuT56Ys8XYBspVhfqtN4olmFu3cmX45sPyeksCqBkR8E/kTB1QClqSPyYU33nkw
9NUtg4pI5rDJxuEt6DJ2gQ4nZg6VFN6mqp7XhcfVH7XtUfUeBw93L4OMYqwBKc6x7HEFyILlQDql
LzSOPAwNTcHFMy9wfjlnTRd4Gy5XIA9/2Vm4jDr82Xl1xqF41k36EPvsonga080APLLxR8GNOEmT
q6CodfAyCM9Neir0KyRxZ8UcCGNmgABW1065KeneW6nHWum980Y83w4XXwkQaENs6rs9Wa8uUB9/
gpCBqRuRdIxFsu6IrvKxtn7ygdsUXCWG0aFYyiyRI049lM7JdqGwRFwzofl8K8g03PC7lLzBOCGJ
Zc7+g+yzC9GO5ZWnz6FUJ5MhFwlWtU7T8r7Ey9TUcuOD8nO6wWR8Za2LQoT7DlDfHU96JiUxXPjK
9fpNZqXUpfinr5nRJnhec7+glz1iMEwd8RRqW65VaJ9zSrmUd2FvZvGbXS6Gj9r51rnlu6doyvUA
zHo6a9FgnKZsgQ0F5TZOFEH5eFiittatbc7vzbAMyJ30aqX5a8xGCk2Vjb+9TY5EpsxtPIcn5afg
fmrmrlmV/AyzILoYFanSbPGFd8jtKkfRh6uc+z51Lq5F6K9l9+S2QDit8Jsif6ekXa7kUuqMS/vT
o+Xpt1S8sLrCWyNU7i9VUMprHMkph3pLTbS2JYq8io8Jue9HMcb2zh8iJidhRsGUpqk92g867YOV
tcSViMl4t1HfPQJgM1YZxplqCTc1S8zJXgJPQ9Lt4yUCZS5hKHeJRXV5fAKGaG2YjwEC5MzSLSEq
250vIakqscSr8iVoRV99Wb06e1Xnl5QsFt8yb61z/4U+EMfz5c3WLdGtnAzX3BHmCpPCJuhB3kSN
CLvswaTHzYgRSFrZWC+STJhDNgymkIliSN93S2wMNuBzuwTJrF+RMucAXdHfjJqlsFXJeJuSP8tm
giLjREbD7gmnVUtMbZaSFOFizSTBNpJkYxh28X5F25aQmyDtNiyxt3QJwNEdzld1A52RSykFAyqI
e51RioFy+XNaQnQJaTqGplyJJOr1JWg3wzESS/Su7hfNSoB00NzYv8J5HTE9eucbnBj7jvyemN2L
HYO+r+InUo3eqvCa7bBE/pol/Cfq5r5yeU6QJqBat0QEe7KCxDw7rmWk4osxc1f8ojEAIVsIHIAh
wq+8YT3LeJMPoc96gw7BZhSV90R7n1xCzJ6Ex85uAp7LFCbKPjLWBbcgEIBOs7Mj+Zc058zCI1FE
c3Y7zd24HaAhOTOzaKtcQxF2Dn3j+hsZyuCgmkKfql4jq2YpVx9ChzsezuOYh3e1Mxi57WfN9Cpl
I/2sXO8bdHCsb23ZP2PO2RhQyrh+UuXBG9HXD7UkW+HKurnak2RWykIwEMzuR1IvpmV6m9ZDIMz4
KZkYKGbXwsnHOxrGS1+aKywV5BO83iPLUtKMxN3xPmNj3A6SNV7ogU9czUZdk2+2kpe6UN+Aj4pm
xagsYVvs+G9UWovDUFkRr8VpfPP5rB0kENM1rLrLTIUdUWHvnFRW8Qgz+f1nRCKAJDVg3McYYxAH
+R5hhb/FZfccQJ/+mOaWlQ/ygrWoueyGcfopIp6SIFA+GoewTO8TdDenO9tiwE7u4F450xUuib0S
Yfbegfgv04QmigHG0Ki2s0NQhp4aduFoo6zs2I8BT1Mg7CMGgeihL/RWB8HOnod9A94ZvjuEE5YG
orEZQ5UXcj8k9Rs496RhdiG1oDVl24gPtbVAGUd+bBK3tysMRr06E7dm4YS7Ojc1qQ9lImQFrRQm
cb53gqzbtEHrPg48wbeoCwCjA3xhws0yekj3QPy8YtNX0VSwNYZvuc7NWPY8XGJ3MweyuygvgdxS
0kG3Uxmx98rkl6XeTL9tt4b1mSjjkUfnzUjKRCNv0ZS8wOiuVMcknaIbRaBRYrhtnZVWZsFgvn33
WVPLOdvzIbtz3OBb2uT+xhHzDsTqeW6CH03XmFDD2juWDavOoY4yT35DCY9fVCk3cc27MIr7lzz0
1yNDEYhtN4tVU3m4DxfG02DtaZBqyg1g/EIz248Vu0gxuHsezj3bLnjqy4CjDVe99E9ZQ87M0fHZ
pmggLWaDmvATDkR6klV58W3jpEf91ovmQFQR63I5PeMK5DM9sdqYZXlbU4PwJuezr/UF+u+xCynx
5lFz0cqC4Wm3z6W9RNATf1sKMe9haNc30B8elAVwKxn0WSxnkdwX58p2CeYW2zHIjlEKunzOT5nd
btuuQk/TkSOLeQknfnqWYzW0N2E3Pze0LPn1ix6SNnon/fREToycMa15SWKE0NxeyYaaQXwwW34N
+ba8WWF4zMeRaatPz7pry4mXEMargoGIKLqZ1zjfTfiVD5g6LiUj0huREczBAf2l7NhaoQ0yy69l
uMUFfxtaBKa68hyoZC/L6KgAUxqjWk1dvsN3sw3S8hBAOAQFvV1eeAHXMlpfa1dnjyo2tl67zCNL
StPdMfHp5Pn2zvOTU93NnNl62MDxdGVEVjGzc+nxpvdZxgqI1ElhVbfEA0+t9DnEsg5OqTmNwfBW
cmRLK6a3RsBW2CJv09DsHGpqZUTeZ+bjXcgaRBSnxqsXHvotFdlNFxWYiDsoONDpcInsCmLbGs/E
DRQ03idDe2lU4awsgLdJyvSadxDYBCpHqmH9IcAIsp+2RNcRRrKddZwQYAvs9CNIrG3ndM9hP7Jo
tFR6L9mll0rxkIt6/0IGDf1LicTVclKOpRXIlxJj3jXo5nSXefQSoPvTqdeF8ZiF5bruhvYtZay9
Fnx4WBilyvs5FkTSxNBOB3objD9ByD7NoNsb3g/TE7/Q50oI9VoZg/JXg9DgTbjk8j82ySgXw5rz
ms89j23P543Ng0/yi2209hmO456BCR+L4D2sGThKhpYgQmBdummjHtG99GsqYRNiVApt9HruspHm
V1d0pFSjWYNWrQLgw6LMT0711uTmc0QpWqfctsB66BdHq/1c/0zGHqARDaNxK9uFDkBnzHDF9EKY
lW6h5VGin7SkhM+FJAZB2TxOHrvINEluqy465ZVLwaxpcIAYpb8mF3Gyiu49iBAIreJCBd8oBMJ8
s0hE4K9N6b8kTjA8/PNM5Hdv3zIRYabguEve2Dal7/2NExSxhm97rEkcBLl0FFYusOJwVgsZzz7U
sf38P/rr/OXL+cugSmZ081NiDMD3UZumd8t8M0hBWG1+/T3/n0Xf/zqS9CTnLzZpEhocNAM4bgyv
/s+8udvPT3yiZfLbWPO//TP+NeK0//BZDrlCgPgxTYuR5H9OOMUfzPMIyqMndgNpovPkb/4P4pzz
BwNDZn02oeLABTj154hT/mHZzEY9YdkBuBlEqH8baf7jiPNvJC1GnMxKGWm5Lkwrj+7G75+cPxmI
dk7H1eeXDzjlL57h6Fbe2WJhsXKRaB/5xQONRkqyoUoZpE4OjdleTgVDcpjBqVCRzanDcfuQE2lH
b0Eq/uU7/d9Av8zff6mWcawvsbLys2JW5/Kt+/1r5SH77yRInDou6hbaonla8ipiO153yrj0C/Mx
Snjg+AsHkoQAbBA/TB4l773bctD3IcJjDh8A9NNxoUn+X75C6f3+Nf76JEghTZ/vKS1bmhG/f43Q
qFngOpyIUuiehyQKm41lSQhbwjb2WZd+VqT1aLcFzUscafsDuXsEdyP3ultaTzlOpkgcbFqMG7eL
oWP2mgVrZIN6mAyLy5pJ79pvx24vQgNJCQsqd91izTx0Zgi3u9H9h01352KEBsqTJgr5qZVp9WI5
lX0CmyHeiyIX23iUE13RmpDtpP33xqjzT8Ss5YNQqfM2DzWjPMAM1yauxb2n7FAv8aI6XptlbRgr
FWkvXY9B1V7tUtUAt6wCfaHPBmU9SSeyt4Pj6Zd56ANWTU0IKS8wwOPcVGQQOI0HNXBiVbc64gBn
eU8T5AWHa9/Vtoxgg4ksfig0LGVqIeJYh9Omboeg31aNwUFyjMHubBGLEhQrtQdbJjXNtQM0hpAi
dwevtqavCCnzdFORsWXcqXFtrQKb5Owux58UUIFoHWKOGv/bTcg0cMd/yjEeJDXKIWQ7WHJR2YXg
l7hFt9OxHoJXO+gYcjlx2xebEoI6k5OQqCeXYl1tuiqXwMbRHb5iRuXMnRovnH4Z2ZDxXZX4ju7I
WBYbTBLOehBOhoKHf037Mj10NlqocZi/yILzzYIW/JxDI2Cn7F4nkAN4IKlR0O39yme+XGkafGD8
SI87CuIyX4E87VAREGlmrtuDIDFpvXk00gx+PRkleny/vWq6Bp6DvlFiqUcAVq7sUsRPBSl/NEHw
FaXMr7UH5GzIUwZcdpBsJiMWjHQs47EEsPM0o4gYmfpEzKNNX9fXFFvpCsZy/MzILX2kK4dyK/CJ
OUZBvCptPhday7O0AWgpy1VHgoHeXT460da2pug7Hgtj1QQlN8V8qr9nc8SUKPa74ruton6bWpJ8
OdWzcTVAEGZY6pXHzCx9lHy6Ogzaf5qavttRPUEarFMyLfmU/0SvMMCr6Z2zzLQJeDv3DkHmwIrA
HnWD1/l7POSPtSEOQ9aB1iVe4x/bok83pvT6fUi4dM+klz55paG3OKKdt7kicuyIZkKcXj4Nwdgd
+Wv6U1SI8cMNopp5cP/NNpiK9T5MGMmy+8hx94FEQnNGsVrcF30wERyQ7YULFQ9Ru65upDc8BLoa
9/BEMrIFgll575twCXpLlCvly+q+Gqv+VWc1LOi8DljbIvLs1UKrp9f70RbQ9424v1d9QLMuJofv
KlIeojL1ti5sUm7epJDHhyDOzcG90y4ZVVGInrl/ma0b5T7NDhWS3m0vBF9ChuGJCaGyLw9m4N6O
qWUfdcQ+e3Ji89Qt6MsEb9mKKTkhySBWwbawIGtGTHuJKOQQce3+pXD9CQS6wYcRA4KPI80e9hlP
APbXJZ53kO7QN6Z4U5So26zcmb7BcJ92YxPt2ZDwQ4nMcWvbJSGA2nfP3AZ8JIQR8p66+zHPHl3r
WUnmpSJeh3l7riamBN5oEgGPp4Hcz/AjwFeNe8AhredC66cWvh1sRzxnUZFuqorgHFHhi5vzh+ow
pXA8MLb0iuGz0fpBjy3jMG5k/MfyOE5iho81GKpClS/V7EOgjqZp7feeXmM7Orhi4SgKTeYA/YHV
YYgXDGc2QGTbu9AlusLQurgCAWUn7nP1a4OcIz6MZGRII6JIWR5LqF+7xCQ3Tudj2jZMyy9Fh9it
ZyqXTSSGXe2163wKLrpzonWGwXwV9thuxrn6KazR2E2myRdK/zsH2WWUCFcYj/m1Hb34UQ4syY33
Wju3mWcxpQUl9RLRZiVHSxEinM1pwwCPzHOACyqEBsHUCCtiEfgPs6ST69EvPQlAIODZkBwW/vKN
cLmCoX4w6cGRnSZkzzu30d+0YtGXuZZ/6OfFEBcWd2HNiJ+0zWPYW/fcfq+2aG4Dn11mgleBIah1
n3ZVwjHDvYyTGz9Qh4IUNc3BmSdYOzDGIJNmkIf90jn1O2RJxEQoTm05QalNXnnzNo7tmJIojzSB
+QxsJtlK6KNoiOwJNolJlP8G9L7+dI0qv3ZONW3MStH0I/lWDOKizA75mtNA9XJm+elQdGeQIR36
yHl0tJMuv7NUGG+H3LgU2v4Ui5bQ9RqwWEWekZXu2VsNbP3S6D7Tnr3BXEQk002sxyGpr9RFakTr
XIqqXHRrZ2pTwmUe4612ol3mWhQvTMKT/Ew9LibFQ2DExvcgZQdE/4HHRdDgbMXOlJDY3ogiKrnP
MGMkkjY8RUDluIw2qKtmnk3bgswuTQkYNSKH2U7VinYKPgTBGyMupzdtSPO9kqzgHFk8xKN+icxk
r5UDEX4gJESgBhpiRo3GqsRjkprBznR9cxUa1kg8CFe7Othxe19M18lpPJJOfEiODco81yVrrS3h
bVkiJt88H0p9Pm1KJj1l3tHdGqoGBkqe49nIpp1qtA8nHmJYAW0xz8LpBeIu+KRxCoCMla+uha0l
abjOABPkwBnn3WfXXv04to5OSHhfmEm0zbziyeuXWpquPsaKfo8bMINJpY/+KUjYorjkcZZno20H
mMXqYj0F7PzEuKA/kB9YvIyRJTb09DtbP0amkd4VksAKry956TOe6Emg8N5i8HiSRdY/Bjaw+0zM
7tob2kNm8NdxH9TPfq+fPQu+ezkO2X3mB8kV6h8TbTebd4MCmmn4c36jdf5k0ff68sqkhEbG8UXU
TMESBBJ3vTGKM/Gmp8T9HnfFp11x8MnyHjxUzkPEicROkWc/tCgYdlwuwKwJXnEuowRi6zI7erNt
74Hcza8u44+11BN01azI5KFd2idJUDYbN+YDG2p9zXygXzeZ8FhhW4SLGk9sUOvVbyYasnkRF2rj
vuYESTV2aswNG/bmXKDz23GKwBvW4BKSo3ssFxUiaFuqnwmhACZuOx1JekP5Ik/kxENfwnWTS5SW
146xwcU1+DjPXQB9rcsaaDkxx5chCU+Ajt7bFqxuNRHiybw4uLHNEAybKd51jNnRXxyPbQ1s1Vi8
jxYPZV5U3kMmC8EKHztkVJnNe+yINxN7ZGSw6BWLUJLM3lcSEV3Vi2yy7pLsqvBPqkVEmXIYfVZG
G74oDbthxoXH5+ds4q90Eh/oLw00lu3ILc3UzU+J4UGsXtSXXEXepyQf1kyCyCrYSlP35OWQmQld
hLY3d90i0uT3TaybRa5JdOuVX6UAME1DE3JRcE5T663GHi0nRs5qSxy5OtaLtNNM0kczlV+a1MfG
dEkDRyb5UZv0Vm4gewraFK4MKpYHuJLRPcs2njkQfhl8A2/k02TdgLEP2eeL+MFtJlLcHL+eDdBj
IInbdWuLeWsPBJcblmIbkfMxMGeh9lbhQoMVU/IgQR6fSWRXq3Jxmqoe/lbrDpCxLYXzNItBWSRl
tSwMEGstczNAe4ssFYza60Sd497Gd3sQi1KVYRhLrcz0gH0y+xQwcMaZ1ClZoAN2G3Q/KPA2RDzV
FZzbz+GXxBUoYLfKF7MrRyMSlA0lS5e2axRxk+tMZ1FgBvSGcMLOix12LId2xU+kxgrHQ9pUUbWr
7crgmoRZ1qsne+8OSUJpzpj3NmpBehFUYWbIraxHswG6wQ/88/Xarb13iGici30i4O1XA7asrZEP
4V78kSO+VQhwncWE6y5O3ARe7qEWxnSJF2MuyaJ8NyDRrYKkvevrnnOGxLCra6PbpfbwzBGvOarF
w5svRt4JV1Ba4GSNOCtlYDLArywviC7yDwimDPaqdH4Dl9ad44cnAzjog6nZ6qGfKHcdtj0kCtNt
qRyyp/achjvOqg7Z14a3Ey0xEFw9AKDgZZbovGrTSTf54iEu3cTZj6iJ2TU1K4msWBfyRxv5gJhU
p7oVqc/2Sdu8+RXt/603oDyucR9b3FQQYDubetEiJ2F96mvOuFNiyVMmnfnUDDbpSVV9FKjPV6Vj
ZpuBgwLlTFFcqUUfLSDsT01Xwi53kDO7DbxSriAYehZ184jDWS0yZ6domkMRpEwnGKouwudpdt/C
uqzXOR1HJ35UTfbMgesLstyzqSvvloD4R9LD+Uy44t5401tdh68jSdhnEd62meD7ssinrXm4BGmz
r4kYonN4SlBUw5fdWHJ4HBZ39TTLny3FyvomwE7K8oEyvq9foIRQdKamMSQtT2SU7GibXwaxF/M8
cfLsykNh+eaaAAMQEQzaaJzxcaryo2/S/tFsqf5yOH5Qi3y7MIpnCulATayf+EsYqvOi/5jnRVlO
Njt2IqpGqv9RMC26ei2x/dRI6EH0bOdEJR4yO6QZJQhapNmlcYxrQwfON5P5LsMfDuyr3USGsI5s
3BksSMDVY3XRubpdFuLEEjJxqh2YMRrsASFLVDyAewfn38g7kx67kSxL/5deNxMkjcahgd68efJ5
9g3hckk0zoNx/vX9UVHVGVJUKZAN1KZ6l0CGnO/xkWbX7j3nOww8Iup81hFi0qZObKH9qIMCw18U
M1MhU+wo0zyeH+O57B8Dk2fXWoLRR1EZ93XEgpWozNyTfmLtte/rLUEz0yaCFbg2HZLzWl3W62QJ
YM+XKHY70/qmFES4MxxRh3aJbMfqRtpxpVuSw6lGd9Cu8uuu9uuNvwS+o6HpgAQAuNUmIFXoCd9E
tzRcANvuK3ect4PdGStdztXGXnLlNVSXdT6ULEKVC8tMzZojFO7JKdlxGBM3yObnlRKLQdXvkE8t
8fUhs0hvCbQXS7R9XIgHMnpAwhkTPi3rRvtRe5TBxBEidEmTozdhkq402TuvyK98ezyTFnoXVcFB
m+NDmORi4+Hw2TIzJ8KkiUsKc6ocnheyWlSyB/8GMSbmzne4s3AHYmuaET/HEx76riyottloptPs
zP5VJsrqrkQxvWHkPcJDk/1uKuroaM78qYq4170d+cBtDGGgtSI+fvTrZlN4RK4qt8GLUtrTrjD6
5gtiHMjNPjLvQY/dyZ6TEwfCdxzL6XXZdw7E3WzYyQ41dACxaSt7ke3EZJu4F53oKebWIbavxLZI
kNxR2C/w5RIKljM23j11nTg2DaguIxpZRBgOgaIv3c1sM1ULwFJvWI+v0hk9fzm2/cbx5HBD1mG8
rWNNhJJuLvRO5s2yVMcqfxUA/jaIJW4Jn5weR9N682u7OllG32+XpmBcpM66nNXOqp6KaciufSfP
bukIkP+WTh/apKjEVcuZ1mQ4AJr30wvDx9alpga5I2YEBF3f01cIUwZs3VTQWWwC6vTMnKqDLSVn
Q9ppt10g9QHOQX10BxehPdk7CGwYzIIaUK7zrRtGkF8WRQz44xCGXKjHwzxVLOrgD6/dJMyutTu0
G8+nzidD+dFGxrd1Z6KD/Nkqny3Byu4E4/gYdYKfxcp2QSmIlvVLbqEI91ONNy3NYmffIfqKc9a1
UKev1DNXcZ8unCTk6KkAsNVlCUIbXWuAZ8F4Dl0CXk097prGKg9s3s+8GWSt1SK/6XQALby22MKC
KXuzO5QjBciUzcjY+KBjwgOHNnJv06Ektg1uK2SEcr7tM3yHioJs60KyuvGcrNsFRuh+R8bVPUYa
reyin1Q4ZhxsWEyjP+wWFJ0Fm5ScRy66ghSZvJI1FtPBouP2OSAWrGiQEPpapSonHnW+bumS2+sU
hQvNxTQu0EX6A4BW29CbwuBnwWycqxtRDjOMJsE+VctoQhJjVfykpShwqlZ5hFGcX9VTdE/ZsRtj
PY45kDBi0GZC7kIjXzW5steqV5wSqeSyR3KzXzK3G3eZSqN5VYXFK4k2+ui0OMtoh4dHQqqyVUIe
xhs/ISf4RWpiz3N0jEk8OtWO4e56UZErXAEgvgsTi6YOZ2MuMMTz+DEnQ/NChOt3P3aS66rrnzBR
TmujR9o/FV19KYo+u4lna95Xdim/FcuM0nCA64rUrraNkUGCGkbzShGoTNKwPLVjUKMTMrpHNTn+
x8Qh6WJNvcS3tWReGewaO+jLggCHmhhDMaDD4NiRrBJv5mYUHAaPVpmRmxiUdnjMAoZ/yLH8YBsi
tSMIoHLLDSOLinpzxoHljeP4ThUEjY2TI20xgm2MkymJ8eobtEUGyQN7NQ8YPlmUANHSv3OpyJ1+
nY7ywRz9HDQJ5hjeIgb7Ew6xAxsZfMUeE+0tHBr3UtBzxTKGCxgyZH81I9k9hv3Y7Rq5HMYzmW/a
lIxdBP0KZYSqqnuaQMtP63Tt2VY52oK8EJcx7jMg05Mqn4bK965jwizfAiyIrOIwghMOPC9WNWia
VQtmEkeswI1jI8iNOum9TZXZ0JycB+fenI3w0uTZOaBNiFMlTduvSov5k5kpylcsR05ZHiR/Jduw
8en1/1SDNU0OAZyr2QjY/nH021sSywhc921yGdD6yHUXIYVKYspYON0L4GUo/mvGev8dE6akTdPv
T1OezUf78W8RVNcf+bf//T+IN2m+tX8eGfrEmf34R3+M+MQ/GPAKiUUgcPAqSPf/jvisf0C4RiwZ
QATm9OIKhmv/PuDzmeI5nuUDpLawOCyJFP8eKeX9w+FcYPsOU2TO6oyQ/pUBnymWsdg/XQw/RtD8
EWEjCRe267i/DIddp4mmwYAV0UcMpCWF1KqQIStOORPa7YQXX/QngZc9dvtvHWdgNBbUYm5a4T9P
m0edI7FNp8cfrBy+bopwIn7JQlzw5jCuRUdclZMQxtOjw93VrDe70LGNnQ5nopNTgY623PlFeGcH
ah/E0wX8697PaDNH0jrZKKojLogLraWHK0g1NqoFzdttq4UWMS54/LKbiRZPhd6ymuQvvppfcqt2
EDni5qXrKsFrumgmwfOuu2IGG83AH/0qcszcGtwNRf8bhy/AfeKKlGa8kBEy+XCG/BWQmJtFxfWU
08MBoGWuBJnBxJWHzr50vBfypy1iQapXa3FqLUASZNFXQ5hu2noE5j39IEZdBmJ+CQ5Bc1Go8b10
52avjfC5rWt0Hv11MRT7oJyfxzD6bHqytkDzr73S3kdU3NcK5dOhCK0j1eGXaeG5ALBmyBbv84oF
PZudXQsMCqYrGN0YGUFs6ovk3qdTeS6m+TGHxzUoMr87BNijFiSlz/ONJ5FtKV9t/ARiRY2lLgvs
6NZYjHseuhk0sOiXSk8BXpj3aCBPkGhPvss5AFbKW1KqLxUyV7r8MI/LwVhVvrzFUtbRz8m/akhS
IJLpKNmaCD1/kDQDFLClNlwlbo3X2rgZgjrZFqH9YPqfBVwfRsshZCzdbeyKnkCRQV8nc6cquu9V
0NmnCeaL0BzdO0UGCpGB1YV50QYLEEyEgluKzXNt03pscCev8c3MayVQqXTkeseV+V6bPhDT/OwQ
F7Oxp+HBDWm3yhaebmlzwkFH5GDdUfx6SaUuokC+JOpuOExB9165NSycCfB0aCu1Qx9y7vA65kN/
quvgii7xQZAABOw/paAI2hezmL/QZ8eRT8oadPd7E4wSuwL3Z0bt5ZOvReWUPpoj0bqarJ111XQH
J7FuQpcihb7IhWcDEW/Pvi7nL2PFiMhDVdN79t1IC2aN2pfxKUcYh6KoBLmysvvq7GRIdGcflot9
MYfGxkCOpb/AKI9O+NZK6+cqg24y+uHF7MZn28ke8yZ/wID16daEL8et/21K7KU3zB2BUT5y3tOv
4MxOVB73XvMGf2I6Ze6IIDFwAbnbeCglBY5PGByZqHaZfc3HLoYXLV7LDu2YbfbRMfAzgdY7Ltey
So95bH9USyLGhAl7DM6mqZIj9OB3fgIE+GC7HkBZwYF13eAEfIs3Z7L2+G9JjUvdr0HYH53CPaDy
f0LrKda27N4UOfbrPpmf2sy7d326Zimb8IrARv5NCtfLozPje3PUbziooq4NCnPXj5XcWSHsg9nm
9S0tDfudmTEq13jjjdPOJmhn5RlmvB31eCbGHdYQE5LQAoUSX4H9tg82IvBRpseoGEmGgarXUDCJ
vuJlm+6A/G8MwauhZ4hzA9T9ABGZ1OpVyfolBS/FAqUhyPLiKmfrGbwptI5FWq+Yo917oBCijIpx
MAgn549d2V78Khk6rDg6kV01ETRVxx1gBoiGX82EnhKpYtim8oWsDXypaq44qzN35MS/kk3znuTq
FfjgxnC7mfeNse6QRPelInELA/IpCTq172j2XSc1JVgL7Z3D9CSeYtqkj2MTXwKO6U8Q67odgokb
BPcXBOTIVos7tw6emAU56yZ2GGQVWJNpbJAaVGlKq3jaWHEGtqiSzylmFT4aR4b82SyTb7Ph3aNq
p/DsziFN/07FKKodcnTDD7teoib8/o6oe5MmAV4h3eHDrxQVGAlEdA1rhLGsDGgdiXLPbqyiOE5R
iN8kDPiKCK1VceGbJKups3kl2+yuUVgy+uF6UCkGLQ0oGanzvIEuABC2Cb57MNz2k4HDwDSeEpnD
j6iCd6jMZ24+th7NEBa4EyrQqOYhkzKHUjPQjGkChjQBo5/wXEdkQfWEE/h0MmkQpzeekA8CpvXK
MfOblCcIU4t5kEN+BVQRHSc+k1591D6hfzlV5dRW64EMhiANP/qxv+7D9t4FesZcYkkwiiFETuVJ
l/HbGBH7KFw+bwJBWEceegdCgRuf/Tm2qmpfDXi7uhzKVIfji2brfVUzC05Q14Y8f0z7NjIO7gyo
82WbrDs83Xe9pTdpK1FvO1m1K/wJiR/wGdeNDsYkV9HkEqS+PDeAlzMdAS1zb5OevPlQ2ZjqDeSa
mbxFKnvQFcMS6UcPljXBLVhiAdgF8WY70YeF5lGYyWZAfD7Z+CMy33ikgbG3R+buPTBjj8MwPcaN
cvJl5o4EpbpfxOlt1+08sJsDyfEeZvQBxbikWQhH+Lpnxkdu+NGheaZGNvQYoPpUpTdDaMNSlPFO
GhG6e3T5JF5sK0bbGxXCLOmb7FyNsLdE+WH4rn+XW9IGrmfBypLtZaziazcc+TZ5uFUhNUUQyFfK
QqyE0Bfu7D7kXuutGLJin8T1E7HG8K41wAnGd1NQnAdeRgkDdWWr9DavXieGgbEPJb7gj1UyunXj
L2GYXLN6HPpALtRsyFfMqpU5vKveWYzOxal0CeBzFOEQo944NTZOXSMRbc7O7J7caH4yFe8BqhSy
7D+NxjpXFgeuOaLowUXCwOHUZAUEzRyNf1jcIgDZdtq51iE5Y2NI1G5JjiS2uedssh+G2lyOiMnV
RDce8Xu0dVr1jXBRd5tP87GOOJyyxWsD61GvHw2/XtMhPc/BuM89/z6Jl3NpMpxKQ7/QA474UM2w
Y3iwDWhH+qCidxxR94YVvmrDTA9DgAknnuUjYWHDtoSht9ceOYbq1UupBit6cHRlb9BZ5usqCcTN
TBrWZggIsp99ElEd5b3EeMvWTe5SazrEFeXkFIyqvsHI+2E2Zr0qS283KTAppImIGAER+Dj60P1W
KTvd9Wb0nEvwD11+b7i0ZcDQjLCMEMImef/FjvtbEVh3QbwUvOIFm9GjnTGvyj1jUQjhyLWtcU10
3qVWyZ2YuudWavJ5yHCR6K54MZmH5yPNrGL2UDrP5m3ZxsWlSjEskoyxDlvrKZVYDYiGAJw8uVeE
YHw17OG26SssqlH1nfk0Y6fO2Y8kWPlwWzbdoHY2bb5eMLSaAwBPBe86kTZ0Ah77yHrNPAunX3dj
GOU90SSSndF7IumF3rCm+wsPEr886SZxi5WjgA1P4wolgT34d0iGUVAQP0c6m2eu0s6w7tBZnPEt
Smabac5iQhxVrW6i4mvWM+ny9LuenVvgFDu/dz9SM/URuqKHIQDHNgGBm5X9MClnUzLn4eiOHKG8
ZD0+JvE9FsmNa8DrQDyOZCZNjwJww5oe0o1MuotdY+1zyoinnQdT4per3ILdf7Qwb4Rtvikb9p48
JT0bPbsjrYWGc7LBhDlArtNE7Yw5wXDInHBoSc0CWxjOSbAvzEhsTFgnZZOdaNa+GQR38Dv1L22C
LWiuIEbGS972qhBVtO7dkRItHaitbTKfUPTs3BIKalv5S5RAvMma4FZkiIToq1P0pZrWIy/aAAZf
a4aOvrUPUofFkHkOwo/uLpTBvlb6xU7yq2Au0WhpyP5ufEpmrCTM5xMoqRvbNu6599DUVH7l5mV6
7M3sHs3ZFofLkWnVFqtuhZy9TLw9cW1QI52HFAjrSJrGKuh9c4OiJfie9Fkq12UyGEhz2uzBbby9
NIaPCB/pPeAud9uZ9POdyF530urXzDht2jwJorIoov1eIw8wfMToRLB9R0x5Y6RgPyTygtkp8y9t
oyzYdg70KCvD/8EcFf8aTJjQ2bql/t4OKSEYNrgHc3we4hxFdBKSCRx34dUgpgS+OD34iU87RGS8
COe97pd1kPkVNdaTRuSH4+lLGJOdGLNNcX+zjRd44baGrLoBALQuG7HrDMSFVQ7FrLIWQv7BCroN
J72bZhKwxDLBccAo8Wp7IEvj+NS4inNBnFzcCgehtrMPEdCx6esLogRc6WKvpuaQas4XiMeTMvw+
9awDInE+xsFGyMnKZKl7XyVf8sD9hq9zTxb7d2Not3lqmNsYWblRF1jcqruYrIEobb7kOETNQZJI
n56GoCIPLCSi15TVhrKNMAGjRpIIOtRXBDqmHh1WV+1HFR4Gs6nWAJ6vDWWt6mA6I7V44sNv4rin
iu3dk+V9D5BwuLVzEIq83gq9ATF5o3+N3tlap1Snh1kNelON3mqsKHeR1H0WDmajzrqQzYdEv3Jv
yLyVK9rUdOXwdOheXHdRYFIaVO+lHwG/X8DWZv2Zkz6BWAicT34/M7JUAXpMw2dB7EKoVwF4ENNF
9ZWCNALF1BfpXegivSooNsfRYNix0OgUDdCUZJzUA3cVlXF6SGnoWlA+cO3fNoKSUIbON2SyJ7+p
X/he86ty/SM78regT8BmN1Q+JgqDawix+uT1YXiQKcWuXXLWdbr4NVLmppvmj6EhlKsr24p+JXCV
1BngERnVgaE0Lq7MeTCdqPnqtpAKUfLh+V96cUlxpRKnZW9S8VVsAFBURrAqreo6SaLHISKuKO2I
aBviapc0/aFCvnaHuGI8OP3SmmAKhTKkIr3WtcjgTLLxs+uNh3xIFVPp6nsuy3Mwj59VSRkfZWdb
i4tkHrJBg/EhB29jGfFJUn4mZXNsA2LWlkQDwoUdwiICmos7OxW3JK18TQrn0Jlt/vij0fX/sdof
If1vm30rWn0f0c+A+z/+zR+9PrAkJkwuqCQ2nBH+R0Dy9L8RS+Q/IDX4XoCeHqYYfbafun3gJHzU
4q5nC1csQbv/7PYBWPSYZElgI4Jo+X+h2Sd/AZY43vIJ2FFcvAxScq2f1eckzdl21HPa6QObwivV
X2XDkVCHMY7ZqbCO8eSKfQIsDFvOyUHKsmkCZNJ42SJtv5Tdo2/Vn4IOOlJItJ5jNjzDH71Envpm
RMkW2d+lzzE4YbR/iBI6Mw4+AOGTG993h4Bo7O1gjGiXVQNXIxMXc05f4f/dZyaRc5kb3RnNcr7X
bKyyL75ERfCG5mkibTKHRRUcEumbZ137WxSswCSCO6Sq88Yc8GHLJGAVzOzqb/AliyL/n+1R+eOe
wYoBRIPB2Yco88s9U1Yr5xES2qCNp4bZ+T5lffujw/45/q9/omX+jJLht//LRQLinkHTOI7FI/Xz
RXqrLoUuQ+SVwLk3MzIxgCTlN10jtfvx0v6nV/qPvg7jZdwkUtCSNhdWy5+sQFJ7RqZNVPGq9zBU
Oa6xlUyc/s7p8B89aQFPWWDhGvFd8ctlAgyFZZRyIqoEbv7Sys4TXxxZQCXXvaICVEER70LGTj5T
2zJjctITv/dHFMd/+mV/ZuP8+O14sSxLYoRxbTrpP3/ZHhNGZNKhXSmD0II6sLDNu7jXEBoIyCzS
m+9+f3f/+jtKS/gWw3+x2Hps++cLJug0oAPPM8Y3pqhjYoLcK3Cdy2YqDv8Plwp8KZYpAbf4F7eL
VWchZU4/w6/t3I1fOREJCc6HM4fTl99f6ecBwXIXJaQjvDWBS8KGa/3ycJqlQ1sEhcsqasuJogdp
4CST4gukzfagExySYUnsa0IU+O0wkNX2+8v/bJn5cXmfLRC/E0ujYEr48z0dhmKgzPNHqJNxk21Y
rMxzz2H8lLQOYdqlBoL8+yv+YnriCy/uIQvSDPwpC//Nz1dMhtalTsTLRFyQ94xn0nxQxKvvxzaN
7xILh2JhgcNGbz1s/sUrSxFICUGIYRF7Acv9T29naM0ChfSMrgApKq0qMzAuduhjrJFTjKVWpMFD
4WOuGo04uPn9tX88nD+tdAtCynJ4WU2siQA0f764n8d9b5l4nLURX5qii+hr4CWZKfOxU0Qfwphf
wG+jVgfjiayIiYZQNPChB9DjTxizZ2lA6kgjtmXIsVw5WGrzrgxecYB6V5k3fDRCmRAh/Ovff/Rf
rV9sj44D6osNEoGTJ36dYcmelxHNardyA7Te/bxvSejYSLdDhUHgLtmOIN7AgFMMPlqC5lZgGT4G
7+FrZUVorUl82bcVgcLOQB767z/cXxYhyftjuezdsDVYEX/5TTP6jUKpmDSoIlUH7BAxh3mX5Qdh
ckUBPonHrMnrv1nn//IMc1VPshbx3tjLAvjzj5lpBzpSDYvCtvruEhro4BDd4oaw5yMj5iVqwDdW
tUGq+++/rv2X5YIr+4xcXIx4rLs/5o1/2mGKtoo74WPAbf0Ju1UWa/pFnak3VmkWD3Wg0onCXcV7
PfUTBgIrZkcFfoylXzzk9G85DADr5/ShiGZgphE55GbwPV+aztC3ga9N4rcUbGTLUWevFcOFqSSj
CLQqV1ngQCBqOmLZ/LY/tqbIv/lm/fL77/iXZZ4v6PN6elRSDj6+X0amHUYI3wn5iiMkYGREgBGi
QARrV8V/c6UfW9TPLyWXYr9eOHaCFemXS9naT7oBv9LKant130IvO0QJsRxqIgVP18WMWg54QZWM
EDOzXO/s5XDx+6/7lxV4+bqB69u8Ykt5+8uzVDhsKjmS9pXp0Ceuu/TbNBUwU2CX8I6J9G8u95cS
hcvxu1rCYj0KXPOXr0x1TRAo0Hyy2PhmYGRbWCaNd/r9l+JR/OuTigGTFUOgxMLZ9eP//9OTmifI
NCqkUZxADRcDI8rNYlyA/KK3Pqq6I1mEYU+EHGtdmQamkmpARAwv+xi7dXUuxpZj/YDovzMTd1/7
1M0lpHMbadXXcl5kxiFeh8jI0Va1brZAlw2Gh+I9cbuPUhs5zSEEHZ2mhQE+oXFvOe47O+xEBmhR
JF0V0LoT/kwFlyXzbnyPFAp4Czem3RBET6+doAT8TFHo046Kap/Y5pEhGe4eDWYBLJ5jtB/pbBJT
4nXxZZD4T1dlJ71bOLXTyRzm+JJ0BBIztx5uaYVl1yS4mHscdO4H/MaApueY2dcxwS2XHK7mztRY
PcOm9JF2p/yX4EBdECV4lIlkHSWszx781sKyGtMJ1Hvh7RIvxkvQ8dFJe/yeCg9VWdNNHFkB3uQC
L9TCLNFLhtEANeYabg3ZGx6CbmqtOxOmjtH1YtvEMbGoQ3+JgujOtjsUwM6or7XOvI1MpMkEyqu2
TtVl98HiHMS/Fjw5Cc0ioqk+PMN/HX3YTSrJIOZS7p9dbtUi/FpwHtWA16B/Q8sjqPNdvFG9887M
TMmLaSHbKqsAOmyBE85qvLsxpd81O3a81nWLjyiVxlNdq3mLy8TcNXryjtKdbtEJuPxLGCuSngnK
JdGQIdk+0GQicLquupcuQbRpg6tY5bFxj5UXPXVtvUM81TuYae27IlR0VXAoWOnYRsoZFMS8aNZv
bJlJQmfKdDImxqV7a8fmvC7NXJzCsjvCyag3eqJmc9waQUdNffgAw3d+LztYzPSom/w6nYcSxBt+
zamDUQmrkLHkoIfurSRzw96QZ4Q4urFRgDQt4Zgj3gUzzMbHxCnK8+hLxAgll8iJOr3ouFf8WDK5
KsO03ptunK61jgOM39wst4i/hgwsk3TIF9mj/aW0ETyBRoeksRzcrDjkv0ckfQrntj3DAI4fRTlf
9U4FHyPrjZsp9NVpQELynDlAKwp7Gf8hih0XYP3QLLEyRbQ28tbZaOlWBB0P3T4x5YBxpfk6p1N9
6O302W5ofbklTrMoptECOGPpMhfhdoD8tK8lOlJ7EJjaLfJw8eWfUWM9+WFPF64eQDh3Hh5m0P/G
UUPHwsDQ+uu2sBXJLd5nKRKJt0WJQ+rTTDIn7q2POm0TJtUz+E95jhl1HbFs5ce2CevXUJuIJ7pM
VD5wy5ZufMJkCUygtphh4EBoX9KgSdGGlzSoWIK3ZRqk+9wFrDS0HoR6UkHC2X0I+8LBigME3Mxz
ALpeBFYMRtQmHd1PA8zdaoYAuR668jhAvy4BAyHOUASP5H2DMhjL7zka5+6uQ+u9iUYCcHvQUCs5
IQo2e2sHOhdiom1YD9i/0jX2Qg4dGO0JTEL8gB7TI3B2GL+atRrJYYijtWcPGChkiKa31M33vscc
E5u9A8fHn7a9r4yLEn10zqng1xDLiTMh2uYECfbBCSGVzSVQJtoY7VOkbPeL0TV3shmvjTgWR+7n
CYV1uclQZt4Pg2NeHGMB/RLafAjbyXn0OSr4YbA2a+Mhls13WfqfqUGPlkSPq1hyJg3ICjIFYxbM
sir6lKq7rfsQR+AIHTmLHDBnNR5eZPRFKq7IsbkJu4hRf591+zCvAZv4CQE7BiF7kf1q1ncRkSN0
C99NZa5UmhHZssgeg6a8Mga+tWW+GuY7CRgIhj0W/Cxsvk7YI1dW16cv4RBdj3ET70wvAf7lI1Sq
oe0XKePJoDbSs3bTfslB+wZXP9+rmnG136FIHq3vM+1qAoPUhEUx1evW9y45rh5s0+0GdxZgISnp
96ahtZMynTbtMHrPdCMQgJI3aGl9rdz0m2zCBJF8uaCKqK4YlLafDl6Em6Sp63NaBc6BFLnmXGoM
CbhA7ROjlvpRFn5wxrSa3paD/IJ7B1NRQDRgsY5k2uT4flzn2o0VIu1g8ACwN+NjOif22bGFeWq7
0KOfW5DzlkXdIUF7dNXFBLRvqLCAZVEZcec4ZCSV9TXtom4J7Btoes9Q89PNENbmpzYyDG1B6eLs
TQP61QEQhBT9wdnhTPPARKvbupbJqqcQMKxcM6ofB0sqKkv4OGtn0iR+TxBd4y1+4IpQnMJH6uNX
AAMDnWZHEefiqOu8sXCoQFpkOTMjZzVGZnFC+15e11U2b1zfdJ+7wEg+CdyZj1Q37s0kLfWRFiUT
ihk1Dk0BpkWeB9F0PQakUTCJdeZTNEENY3Lk386uZ91U7Yz7KU/QCi9U/Hhc054eeReLjHWGKf50
23qiJaE4m+1bd/C9tyBs4vM8AIgkdKPS93NkEd8y4q3x2fJvdODPdzGPyd7Li/FE2La7x5jkvrEH
llddIJCD6Hn+Gvc5Sd9WXidPqp6p7kTjEilA7HtJQEtUQo+pShMeG93AK3xV1jGI1PCBeBZqw9QR
XdDRkNb7uRRvtOKNLQFP9Y0yITszTqvjKwv54BtCqhwgXufox8oqu5iYLMf7HGcE5KuGW3vP5I1l
O06RPSdGBKcRg8NDUPXNXa8YIK1cx3P3hBPHe5PmAE/+RLXDnDQpgOZ7od54NYG9Rmbe6pjMDUtH
bIZW9TZ0QP7KWQI+rud1Ztcms8Hgxm67W5v0OZVSa9DFeGsQYK5l9OjYGjTB5KhtakKgcFNV7gHJ
6S2RtvombZjLTaZ+qufhrkaRbJbfHZ0GO2sIsOOMmOS3ZBPDd3C9ZjMnY3+b9/n8RIcY5RGOyx/u
jZUnQFgVTks5mXBwlqjmJm+8D+uAcGnFLUQPVtRMn6Ka68kmfrLb6iPCedLH6lrqUjL4wj7ZJWDq
DPPVL9KnvA2+8uBma7MBsAqfcD2Tk4HxwC3uzLGTLFXE4g2w7iDXYXaI9fAIoFmtS5QCpUzXLEJn
I2FMaYzgg6381e4TcArL1M3IdlYXJZzWVHPArWzvCC0l0saBiWDy4/XdYO1qAslnoO6rqfCcnYV+
T0QwCugF4ARui9uGRMTWJw59IhE6dPUpdYpiPUNcoI00g0QVFLR5bH5Uk73P/FIxku/keoJy6LvL
VBHtuYgRatkucoYCmi9vEjr+yH2rI/ZGE1UmyVz1l8rxqJjxwwVUJdd5bb6Z+fgtdrKv1hzcQ1om
MT7XH33NpBSd0odlkfqZtkcV5ccEuw9j2RIVSUr6eD5fQn5z2PoRwLOeFJtcpEc3ZwIfOcClfNOG
cAWkjP70MQcJzRhUGFsSw9Gcm+RYtsaR34RjKwWBkDnhhUX/4kIvGdApEpsEnY4AS7Cv6dYeMt7c
wToDNgULa9uvUx0+tWPLD+ZQ3EDPf24pLNZuUb/HfjXcj8Jp3tgWDyGGsQ0y4/xsWfFaUs5fFGyI
49JQOhaCUV6WaQRKKrgxwvmtJjQxVq65bxj2blw77zeBQi9HIM1HEBjznQV0e+sM0avblY8s6PZr
K7o1TbgCgcICfFH6wFbPeUCZD2GoHlmaQgwd1sWyu4nQKw4RXUO8T5xcpVj2Yml9pycwnMcEEajr
OzeRE220mb4PQe9eaUt320LMA3DvXD03dvfoQpkEgyyYbFW0VtOUOW/tEQSK63BeRv8MIliljS4/
BQrPsUbZFg8xRQKRnWKqt1JokjIkyeLmsOsy6xEVz6dBMATPywH83EMrjUM7adLw0JAkhclAPFjm
gAEJPlyxG7GeGigkpsJ4H438pYjdQ2QTkINjF+PaSHBeHPnuzZK5yPmMx5ee6OQdnBZkSd6148YL
zXI1DoXa0MLz9qrnA2G6YJFKvlZzj3J4pNjmTiCJKIxrmLPfO6qadZfL6iy8Xh5xF90mOh/hgFOi
dpyWyhw9SqWDszs4BxAOLzTBsQoqPjWogwKR3UwFjETnPjWXPF+jCp7Sujhpqtl9X+VH3GN7mjSX
oEef0aIYe7LrjrYfJqW3hk0z0ACns+wLoExmP+ziUKTbVNccUobxAE158ZxPD04h9Y3tTrjDAQbP
ZXZlN8BDvDoA4kMLdd0CLlHaJUUzYbRPktOl8jJcxwDgtnFMJSoD586I543yBn/fWeoLHLYnI2S2
WZbOvWjJnq3qkY2oqtWuq5A520Oya20apSVR5qSz8atTr5M2erbKRLwzwL2K1Fxv4uWMODYsqmlD
3gfPsn+o8MRbXiLXLXmfqh7I9xuyA6Iw+5k21CuW0P9D3Zkkx260WXYvNYfM4WgcGNQk+p4MMthO
YOwe+r7HjmodtbE6+CWVUvlbZlaaZQ1yKNMLBhkBwN3vd++5Z8vKP0sklm1Zv9syE3dRQ+WkE9Iq
ntdfbiruw358hV80rRl6Y9IKx2LvRBgS4pBHmMZhW6QJeLmRnWbIzG3d280BxeO5GfKechoAPqRN
7tUcOXaw17D15mHdOXuJsv0xaEGHEcUcV5YLUVn3jiQkH2if5eY0TGdrD1G98/Hav8vmJfJdeo4z
z1j3fpRm68T3A9CQhoctZmzS+wx4H8svogB6rjnthgE6r2QpAGpR0KxOhdArxSpzp1pGA8YSVcd+
9dsAD3RcVz9aVuRbGwmO9KMePniWyRMJfBJVaKVuAcPJUa3waGbVS+lZwWXIR84Hvsv2fEtoEwp8
0MNBygZH/XJEJOfZQXgNUl17Rm/wN8qtrXMYdBXb4rn3XaaUu9KXBwaTEpWI88n0Vtmq3o0mBxhs
zPiSUVs/s3hyL6qz6x0fbbQJiSwONVP/3mcJhrEFO8Xnkum6gW4sAb4J6wQ3BE9l343u9CAgMeDn
w/PoTOKoc02gjATAdcaiMVt+SmqcutqmKVKmE+Y8P72LZP4R8W1z14vigJkS0aCt6XIdEtp3TfPT
gX8OatR890IfA5UhwCCyRRetXa370Pso27zc9sQXnpWbsLC6hed+UJfbssIAdHwHqXl0UyBTYtaG
bMCqGAjyFwxYVO51htqz2OevmkoPaIKM0LjTj4FWPcILCZbsOTmSCPWtsKyulN2i3GfTl6GZn26d
F8TJq6smhiOja/gWhreklArQFRQcD8TyJfGwIvtN+tYDwCW+xumxibfVCEkysHP/6gVOdtJB4EPa
9eBTuR6MbbTJNeG162hhZZvwYNIxSeoKceYhyGgPV2lU0qiSR4C7xl1jl86ZGMObkRg1EE0sfKCj
k+WkmYga7KiXY2q/1rmBD0q4lGnmwxOT4PJdxGQZ+lSIUzWAxp+oSSDB73PmjpxvKiLkaziHk2OL
aicNiXTva8VraLLXYS1FrerPrhJYwPsYrA/NrovArx6B8X4FacWyUb5xmGG9nZqn1AIhapYGuUJ7
5q7V7Fco/PmKWEJRV4xr5mm7KqvXJR0J7IMoC6tG64GoXLyoEng9esMERM/21CdURJhJAoTGGCCb
UE/FF3SCOPZQR+lxasVn43J90tfRUUAW7LI5VqgrDVJKD6HE32o5Th0XYtCiaIunjqzzCbtJuKZv
SS6F6PLV6Bty72lj9oFQmh6NYUqWrQcFXMUcVaJQRSes7vnCMYovK4NpASqUnp8p75cT0v0qjwZr
qwlvQ16ywssL7TqPtYiJvftcddCeYqt41NHbV45fwtbCF91Rgz6H86NVZcb3wZich66cswxESfoR
rGRj40s22+4LUnC8hk7D8h59QpkpNladbYoWJqrb5cRlpQO8oXsdYUlZNnENxeUBwGA4my4+oqjo
9m1sY4vXkqNKw5rpEs9Yuw6OPJ94M5cSuNwdnzsOa/euP9JRGPQUmLnO3L7qruqsvWdqxwxAJtZG
wR3awHZ4szjuQlmKp5E+KqjUNi312ly0Pkxzb6ndP7f4ja65DyG0CeV31rFnqUslnnowencFQtJM
1k6eRGgYq7ptpz3nO/0O8CqfyYxZiIxWcDxtfnVN8W71GhesnF4rOzExmMuhPikmeznppBU2zo/a
kj+paT5TMJrsW012u6HqEKNl6VBO24XroO0eXcQpPNH53msq0D6N0QE+wQ72D0X8v9rP82/G/OY3
+sqLEXEnaKBM/vHGc2Tub/9B43HYjNf2pxoffuo2af60tMz/8v/1f/4RwruNBSG8j+90hvyQAAu/
GqYTP/94h/33//wfcxgPsOa/GA3Mb/LHP/gzwddoP422/aCP6O/Wnv/74t/dPZh7lMNEwpWCfaky
5n6jP8w9AnOPUHOUj6kXyT1XYYj4M8tn/qZsBqqCdRDYAdOcv9w9xm8uYyTh2rhxYHYygfjzs/gD
ePnvwTqxVTDU+2tYpCR5HMOWrkUmhuQgbry/D/3SCA48Mi3ssLp5Ltl4i7Ria0CEilMTLA8SCn4l
sbfq6Uk1+jMoZkh/ocF6IeqHrMYhTF3sghn+URj5ng6SU5yyocED85qKGpDhWIEaAN3YcvkO5cCO
FzD5MPee2quSxiOAczAOct/YupiE+imng3uOLHkC71xF2ZpPGYRnqffccr/xeVcP0useY3t6jHFw
mnHw0AHbbvT2NHgudZpk6oqANcLgGAmofKHZ1Y5HK/9kojiSbJLY+YXa505yGur+0yKpRssQZwOO
JfpGo81xLxux4lj3UvhkZ7vkLRYalZMGjAWoP+Wy75ldNGZvLPhzd0XkvbU2w4UySDDWwzxltHDI
ej/c8FjomfB1VFIYD+5g34ocHXOAY7Mo42bltfh8UWCWHE38dV2AnutKn0S8Eb3DafTXjen8JAi7
hKbz9zTP14Ul6RKo3iJXUwuz0AEguE8pg3biX+sE4MtCQ59FGS2WudM8OiCDAONwJjAFDTMiC/dO
gmG28cGSme43lclzw0SxrET1wuGiXjDPu7kMfUXj/dJrCVMAU+oyj9VNDylZdBgGSZQjREF+jFHo
x6oHeR4X/fuYsPCpOmYlrkebnTYcZr6CX32BcYumDhvSpfMqkbdd4c3Fl4SxCg4wg6UIkuCc9NwJ
Y2iBA1s09jsbQ4IdfXBvEcGgPYawae5qR0s5DSbVZh0aNl1JpqTg2v12an1nezrK+0BhXzTIFz/E
Zj+fpYtEJrvBxRtMGvozliXdj2wbMhkBd9cw0fvGhvz1PimIbIeE85eDYIeKFs9Ox1nXhv0L4tcv
5O1z3es7evBCZkfpJ+53rpjSht4VbHgd4oJS8c42wKWVTMiHBh5YlHdwLADHL5h0PZnA9nzccJtE
xhjfAo7DTAG9hT6KhyTu7uga3nUaonA8F9CThQlaAcRJ+Adb62vMoPjdPWvLivwgnOECOwkaeyKA
IshWLI36pyq8ezft7m0PrHbS9s9+ZxrrrgfiMtU0bkBZoQoCb1Mb+E+Wm64VQ8v5zjAbBgheixoO
dnTlltnJ8acdUu+3w5QyiGgoMgUu9aZf15N+8abhECB25KQq9AxpyjLLl8JoOvrUWc79fovP9Gpb
43oqh22hmld3nJ4LhmNrekCouLG3STsbf7v4EFX6jd9/b8uOKvnROnNNAFhUalX0nBOLkC6fmmIp
LS5GZLtSMECXiyihsyuQqbMBB4uw5JcX1Qb11a44oZcNc9C0rB7Bn66pY9s0ADQh4K0wYz/WtBZr
Jl5hn35vbyKGx84r9RKs3WhPgasdvDLZqKq+gw/H04vWsRUcIAgYGjjQUSGbpTRY7LUI98ooAXjW
Fnr+EBFqYdcoyk9qed4bvXv2om6NNt2stQZKfcx2Wg33lp28pUNxn5kzdNR4a6rmTHvtK7nh8wSZ
FoyHsUnMYmM2cO8mjI/myMDLzYNDG3cEGiucj7F5MzsBe1wIZo+BZMVL0Adp1l20Ez4NGeZ0yHJ9
+pIBmmqiezPvSXyOO2zQ7VaIWFuWtbEbJnZvvvEANG+vm0S3i9DoqYmy3hvcdRt7sgIkGrWlN40C
jgIQEqxdAoeMRIJK6sSJY2Mb12mw0/XpFEvuoCQIy23jUjQPnuEE8YIOubKlaWy2fQqx7lgLScqx
gRxcyQ3uVQNNd7RXkzbD4sFHbIRxtRKa8YFVvtq3oITZyahDZXjrzKQ/t2GUkLFL4+ZykUhBfnYp
BcIiwrldh+oLwtduYH1fNq3z3NjaK/VcVIlnkChMvbymlRYuS6Ysp1YOZ8fJi03lWt9Ctdcwph10
jge6PYEouDlRl65pe3svTfuxaWN+B2qV4AYyLHOgZ5rhuxMWt5j7cKGRd2pgVLAVp3a3ZkrJWM45
4e2lCbIvHyiTgMma+6cxKV4Ehz5qnav3KXSfR43mkSn8NKmxzk3xwVb7J9GjC3zOD30Cy+k7Yth5
MV2eEGl3g+YfGRrxxUWUo1EIEoFsau7ofr2jkIYfa7kH6tmMNcVHhAv9wV23dLl5JcdMJ87SYxkF
FXvJ6Q7LzVGNgil2363KjBRw6+gTHn2CGQUJ6Mk3OHy01oMhmDpUFj00HmA6Yvm7UvmHDjFhPSfp
O02d2qw6Fy5dX0YRfwddvh3aCBAzts1V2hnssInMVG38YUlgzEbK+dIfzAODdApq/ZxSWO87j6oT
vjy2HGnBCt4C+sJ1gDNdPIQ2i2U90Igh8dsu84GqkrBq1gC3nwy4WuYYD4tU8MQErMWUk1IJVJ+F
weCQtOEXnrmtK7oPvXPtJVPRYUEX7mVoBYs8bUi6mD7wNb/j+QAZbQKzKz25SYnZCUW/BNBeEGjF
FK2rAL+y5+QnmoEAu/Uz5qDdxrAPySasA9XsQBCVmGPTa2YE27IcnjQue0O4Ry+LiyWbLMMX1N5I
tuYZHZE8bcP7znBN6LFNs6B/6dUSzbTKzQG/tRAa2ez8I5zPSF7BSUsLu7s6d3c+XYTLgjFXn8SX
2mA+VNJrliX+00jPWZ3lGfBKTHkZV/42mOvQMFZ0QCvLR5OmNJpY9k2kb4aSwpPBotSETjU5aNea
jrU8qW+EW0CN2J+tS+PxRBtbh1oogBPg/87T3TRXtnV0JSzEXOMWZ+JUQDDgOyuHTUtdDzGKufat
F7eBGRp3Q8qhiW44t6Qkzpf9FzRCuq4i59mmR86kTw6dkeLD/JFkkUYIUB39Sj/7ypJHppN7GK0H
9pRfTPnePLrqSKjzRFMfLR12Mmg2M880pf5sZc81d1rWXwfMcovKpQKvG/pNwsxgoWjHaymYKmjL
w8ZztmnPa82RXhGDIQTpkyj6lBAtZeuSHQXAwmPrsZfjraOPb4wo5sPCe5g4cMbwJcxSfXUUr2w5
w+2F0d+UWT9bFVzeyiQMm9D7F0ELb1jeoB2YBfNb4oAooW955F44zb7UDg2ItAjivaDKbf73jHrm
jz3eFDVF3qRGQpSkrtxWU1ZcW9d7IUxlLgtvDJcdzYVRjDCvOUQI09yHbqhtLUUiHYVBZy2n+hCo
MeGXuQ5RgXHiAPudcQzkmcsPLqu5PDGkKR6htaFVsaJd0Z9rFgngnQFgowWPjrcRdDE2TvPd0OuY
TPp9Y5ufukIMpbuRBmCUINock7TEn0i/oz/3PFrOcRh7tg0q/kjnKshQQ8tlCZ8E7jfBrVUnM29U
O2qSUHE+F0rCDb2IvIFQSObWpHPSy6snn+cWoHX+JFopk8m6avGwDzBtcjt6DKJ9F2g58/Q2brf2
XG5pRuUzdGvJ/l/eybkAMyFgsSQ1gAcizDe0EIx76RvNLgvZcCed2nKy3yIqQxqh0d6mbLP1NFR3
m8BDjhNFUsjZawyt5obONIQAXpdbQqp0d5awLkXd7bh0FROKyTlEc9fn+I/WT9w4BKjnKlAno1K5
nPtB5dwUGjRCX2Uhg4nKZtnIuvSk9fZuqEtrM1I1KqkcJXGx9aggxVv7pk3B62jrGCrY8Ki5rdQZ
q2fHoz2UxwWVQnF77K2OZhSux3i45lpWM5/QEwrAeRQhihnfStYVlaIjxvmSTakKRIfZQIlbHTsB
TWJmfrEQMdCLq580bP1VRoaPM1uCL8323wFhZxX5b/Qe4dQo7jK/N3FvbOpW209MFxFXMUmlFhDP
6ITb6KEgW76pG6dn39JAb5P7zC+fEHVNQtZzzyK//nIwgd7lN8fp7qRmHFSPIaGzol9e1NMuTfKK
jF8aE88YOPcOj1Rw7v2u5tZ0/Uun4NvB5/qFrnWAe+8wp0zhMgFNQxocuMEd4u59dEPCSclmhUdw
dSuPCsMwx6nhWAgvbjNmOHXSpyzU7fX/F1nkv1c9syR/hJH+324yef7Jvv/3//r5u5byx6v+CDuJ
32Z/sU1DiRB0jRgGcsQfegglJDPWCCO5+Y+sk4nm8accon4TjoVcIiWJp9+zLn+GnWxanediDPG7
GoJS8p+RQ/7ZeO3qEIgNS9CT4hB2+VdqSNUoTZskVzr+BTqOueGziWdVABZkHlxUxqnRjWDTVdmR
gzGV4pVzKRySPmaxb6xynyBq+rXpMZiohivHSbEKOKDYxYC5JmS4HUm5HEuTeayfgyFOe3B16b0i
IDu6gnyvdxdjY4wd4x7M+BFb/bbuqS/HwFzroKrJOYtBf2cvhU9PZs8xO4+YsvPKJEmfW/abMuNN
GeQfahpdNhnkAI0SLyqB+SrW7+ApUUKhL4JeuxBUTpe5TV4rSXd5lT/GJNjHOZsexEwXI8N+6x32
941ah72/9yERLIY83/JchJIdrZBnvuvWxqABwrAHpwLlYd3a2oISsFXgSlrb4Omz9Pel8UDTIrI2
6E2sPgxuu0XU94u2HdZ9m/xHLl2YVn8Ttch/2BI6FqIvNhFL/pNL1+4GomkGD/I6Vb9kX11GgQ8O
EWKfVAkH4gwDdvkgKBI9hTI8ORYcesO+yDo5G47HOLF4sJGIEFiuYeq+CYyA2tQWO5PzEyNsOz5W
+VQuG4PYfgBvohrqFyvx3lIvfLAGf64NK25+7wFGdTk1sH3PDQCUVpNtnNSlt65cB1J/7dmKJBaV
Fw5wg4jOlQ1Nh/Ax0X8jHn6oZg0iV8AR2oDMWY4DwAl9IwSDbpS8bdNgUMrKn5Hj/35UFXCXyMQG
SyEqI2CLV8Gyz8eYAycCnlv729ZEeUGl7Nm0jwfFppKDWRZCEhhHzMjJVz2EzQLgzLBPGuNoagyS
teCH5tM3HPqXkPfxdWx08XjFFXZkzPWSKT6HOF5bKj8YMtsrI3ns3eahSPNXg4Cx3yDa9PplrOVD
XHSfVu2cMM2kCzLkt45h0EiHrNNpuOGiDQLcDnFsE2jtmVZh+IojIOreZlwf9LPdpW42VQCQhXKA
ez1C3LNjPogCAH86hI9xH743BT4dUoiQ1n2gVxiVubwHVg2HFRh4wdLs7XLlDaXOTsedNjBsT0zL
qIzW8cliHQzX5HmhWQ2chw2MMIvUlM+qlz+qY99UOBgEYJ8lz5Fib1AbxXfdmJ+V7K5ZnLKXiPpz
rbxblRnzFDf6yQIAXvMb2eXAKzM72VVeA9IcQgFo1FMRkhYXmiVvjY+5OU9KHSp19WRV/lmMvdhn
Y+PD40EgG52O8Z6OL7ir5SbRGHS4UIUIqoEhCyJEJpPHCY0u91Fsv44TP44SmJa2HgWR3Eq+As96
CZR7a33/plVNvTSaDB0I8wHh7K2qpoehrusTcQCwWpzIsmyDCYCNT0fhhj7VgC4hf6V0w+TOIbbB
LzbGujSHW90jz5V5by4DP/ighFTDY2u3dK6ByIeZCWRFp6kMzzXQ/gh7EZeh6Q1HO7R/JuFjxWre
7by5D2UH7RdHGXxgFm4GVvA11B7HLbMmpX1b0A1XZYUyaMpZdMg43RC5Vq2OfQc6TNKbp64Jjkbb
cyOHbOQqpGOcgSEHjzzXVpUevDUmpTW1g3jrWjRdRK84KE4MiracRDluDuZCTLoFyjSkxLctjqE1
XIqm2E5sqaPQOAAfWodZd6BO9qI38d4p4nDfxxrsTVLUHHaOudnNnPIwx7NTzOQiYh6F9+MP3knr
SoZwIQ10km6qrSf124S1aCkKMCCm5tvn3Gp/+UYG9SWR7lcMd52O6vA+SoK7phvek5T4vClxLoCu
XhZZ+isklsRpz15Yop4JuAell7/iqiKqPnJL6quiFd+lFZ6FFj+yit2Aj6+DJt91WfHT2wMl1vZj
qLEA+SP78lbbed5I+XZT/gLxCsDZSAc8X/3R7VOqwsXOy6Jffl5f8fjegwoCNiJnwV9Tr5ZWQSDW
4fTn9MdS3YS30BrJrNM87PgcFlwkRvzWZ8WBXeJ4yD2X4ZXzlAlwwcQSSp/S6KD57iaWM8AMbxNT
VqOnn1E2DlcSbIvIyWP82c0xNGh8mk0drZziVRvxiaT1uqnGSxRkYtHAruMcw2wVJpxVNkcWte/O
SjBsUuqi4JCbEWp2oBurYOC6pkawXGqtsR5iTrYu1CIJ6caNaggP2U1v+gdbM6Evq/ZtMgrOpOlw
Cl3jOo0TyJZSDusGTq7vBYxmw/04WA+iTzRKAdPXsAhKZDj1kdDK4bYM6puOOolKDCfPmX4Y+CN2
DlwEIZOUxuAB2xR3blQc0VQVg5n2kAv1iCcV+0SAst9XxhL/MSNUwH0OWBJmvIxsY8WwAzGhZA0J
FaXPZXxOzI46d0qqWgFGrvihxuQyjECNejM80EtCa2EHwEzDLQsFPXH8z6qU25irIjHhFafOxUDR
1xPGzpLuggLXO2v+I4ait8rpr5qt77GF1AtnoPgUn0UsaP2k11j44SOBn7csjV/NNriERropbfvN
kMYhlUyPjW1W2xu4DgxKcES/cAq5GSNWFA+8Y5oaO9lSzxGW68iGNZTXXO6zw4x6WuuNqdM2CeWu
cd21njyZ7XjmZHvoVbxp5iGTo7+OifnLtaEjw+h223Id0qoeVDn3Yvth+Ma9SqyHprO2FZJOonvk
P9qVwsif82EPNREBy/1syfWJ/Jg2HEX6DTz8g6XUOuggkNtgh9BGnOyoz4sQYk8+HOYEma8tg+Kr
pNY2c+BhIU5k/DTV2vscSXDgeV6abzyT24o8FjSnxthzcyxA8/GR4VD1HypTLlR7yGS70cvsDiTi
ypPVEsL9XT7xXUChfDLwHdd2fTHD6UKTzasNeqkWKIx+cpfiJHucTJ2BVZFfzAS8oJcGKGKRfawd
Btx9Zm/Mql3rhXwItOJ+1L1lP3LEnMqWmvviucnLu8EF5igH9VFN1WOnU1sQDtGZejdz6QzR++RF
EaMEbnIoGzT5MCEn9Pmsa7GzmCwDuaP2SBMkAFpGjJZTrH5yh5aCyjI1umqghRgpXSxOvC2V2rAi
P01N+Wz5+eMgUJnq8ifC+hOHn2Sr1vVIbJTB1FPtDJ8NzayzQNcvRVfxPE8+Op68qsp3qMpbuq/D
te9wQUp8zfYUMCDkRE1R3CGrcOYYdnWMPfGh8/DgLwpOfWMtQbn8JG35OhrI7TEbRSC/G8PMTwod
hjBkTJtLuyNttLZrCslaFT6n2AgWgBMQvBvsH2M9LrOUaG9BOV8V2iAeGTRJ+hsY33NruiXtLKWp
f7NTSZeMUNgSyNmuOtEFrPG9yOiYaDxmRYSLhmCSQyaceype6WzUo7bGgeV9G469K+TWDPLbaGE6
y6znTqBvVBbKIggoYhHTluwRV2C7jr36MTfUHTMb/IXhxomEjt+6Wdot9L1AAGYD9B+k0RdJ7pVN
dxeb+OQ5z8JfvDwAFd/d3LFnmKhYgXyrivdM8Z+mRHbrOsAIn3IcUfpwFUbExE7Xdnonqg2JuO2Y
tDcc0K+z/V8RPaZNMX1KFQ5P5W7TTqEMjusq8V60TjA7UtSPqeza1OazEZhsPIYb2R88UfoPzv81
USH2CsalSCwo4ege1OY91EgOi6k18V0XX6H3YiuV31MJe0+361VDbIdLCtWuTywwFC7wnjTWbzkE
5ZJlimu2TTd4rYHoZO0BjDJS0PgWAUrim8Yh3DjMFssYy4Rrphu/O7CKn5Ge67XMjINmeq+x0jYh
3POF51jfJOFOPVUlfJ18ik1urgrOaVC/IZ1SNPFYxwVhLFFvYxc3SgFaqJqAMfXUwcTnKfBIk4XU
GZEd+KJ8ktpd1tkIHDXDyoNhdx5RrGQX5vmJpAJHrSbeKGjtKTbKyWNmBXT/EVx6sqQBcl3pdNUW
uLMWXdCfizHd4mZ8lXXwYmaKSmLnwH50WECv1WHNDP3an7o3us52IAwxnVD90CWbVm/2RckOB6Vs
oJ8rqbl8GabeQgtLuO/qTIP8kTYikRt8qf2jADMFQXFbtznKtl9sZYCxSeQunS4w6YGd1cMF7jcL
TE+aIqm/EH/hYAH61nSpGJ0yaXJ0/dOyQR7KJt3RfqptGNXgkRqDq2OVyTrtE55V7muUzBHxGQ7c
miVlNNx/bpKtS6vgMNbqP5OvvTVQTsnGLayxuRCTpXKKj2RdTenWcUtY9aq71ywk59i8RpYVrIVR
3EU6N69mdMM+sk1KvhkJzcLddxO0Iwai5JPjW7ms6mbHQZnCwTF+sCt2njbSIKrtexBSe+SNG7/i
WA21T5jtsZucjQypc+sEEmVL41z2grKxnlJq3kggqdzaN4NGHCnhxsQVNTnRlw0yrYAMWrrDp4On
tpAT0KngJYbz6Ohylww6TTSpwTw3esRPilWNCpSqg6bEM4D4C7ZMx/mWPr05LZTCBr7UJcedtvGL
5BC37cwjyVZGmGhLn1HoFGmgWIA/jRaZksLTDgBicS43zvTAKFm/+gQA6FTizWSssDjRKBAQQjJN
wqsWSmGio4Do8cAXYXTdpdSgoNKO8ejhKHY5LjSxRWCq0JJHWvuumRXPmZMW82Pa3LELXsTe/JsG
0SnUrD2qZs2mxKmWg11DbWDk0jVctoF/GGR57WG0L2WkbnnBOUdrH5JxWnllyrBdQBGosXRDMiLJ
j39ew0zr3pyavidaJuq1yGwSPRy6ax2DQmux8nPvBRNO13zD77/rEERXvNsdh6JqoVuYDOOx3gwg
oqBbgRft/aOiPIBp3Pxh+8vWptAWbiGV3Gt/Bquqcdl3Ase4udMYz4/IHiQfFxkwGJK4C8MMlgHe
FmXjf7FKmJb8oiQ/uk5baZq3lJO5auNPI8/38JzPQRuc3EBc2YclXy3k49lkwCyu5YiPQT48Jqki
NtRm7VtSmcE5HGwSV4lT7iOivuTofQ5vdrMCW3o/TDPBSvlbg/ynCsLnnCIwlcRbZTlnDxsCbOcM
K6v+RO0rYMzqhuCkWGFHptpjTFVNIInmJ8phkzneLLIZrAVUpfZsLjyrCNZexWyXy3Bfgd4j2zvH
os38m0I596jaoT8mGXaUIBXFPovjq463gNSprt+PwhvYeuHy5Q80iFIUUFop+lbOZ50Fd6mhfqaI
DVqcaAFuZu3EHHMbZe2MFAqXyioOo8PhOh5aRGY7GWYNmP2Ubax6keTYZ/stSbjv0i7OqVYPqFcM
U7vZe0mCD32qtjkMEIBZQHYzDxYc8EOg0VPv1M6lrHMSr23nnwwaRC0r3Lty7jLwYZNRexhuIo81
u7Dpt5+8jmvVYlfo3gnu5SJzdokK92bCmlLk2qWIml8GIb/O8S5MuthS1OeIK8YeUzrLy/wyxMUp
L7odBKV7T0bpIipjsZZ5VhAkBDzm89xbpkznemZ+mtTO2sTIF2oP70k/B+nL+3HoD8ogjiMsAuXp
mb6wh4kmpU1fhpsCn/eyMNDlers/4yw8JbI9Ay1G3vfWsQYbRVg+FFu85NZkHoSMLirI34zCxKio
Jrz5BlW0VvqQy+jOkSO9t5o0vgYZXAOsH/RBxo+UE+YL3Z22GelAwsDK4xpkPDjI2YmqeeOMR7vJ
LEifHWlzFqTbDKw3MoxeW0+Rib3D9YZDODAfkX7cHhQQ34YIKU9NpmFlU7gUfFYDXlurMPdQlq1N
nOof1UhRrLQz99IS3D8YGtdJ4OubgIF6UFjQc9tc3EtVeVeX/VoQO0CipuDOlETrYLz9jmH4r7ZG
/jebARi0k/67M4Dw558ckfL3F/3piITvgThLeYF0TWkJDId/OSKFOYMrXNswibTpFv/vrxGArmyh
CwIPVCPgVPzLEWn/xsvYfilYE0KZQGr+EyMAXTj/yhLJWzCkAHXGIMCVJpHSvw8BhkDgrgUIAMy+
vpRxiHvZJ8bYxgUpvqTZ+ikBuNT75QURPOWkP3iNuOILbJAa64Of1EdueErkLCbUmbatZPUUS+PS
UZuwGlrCGbaxCVymzG6Wrzqp3WL3vcrSk56ky1CHUU2Y/25skhtYgH4JRrOYxZXzZIWXMXSeUNF4
sGo0CpRW86KqbqTayiV3IuqjMow7raUlfEIHQt9JiZHLjxF76toG8Z6pEERCxXiiNodt1Uz1RWjq
LibCusBQfZt4ZHc2zuYUK7p02wcizLRv1sTOoDVVTCjWEbnwIsJbJHOM8sQeMVpOODyhV8GFnfQP
thV8cgPB1DE8iGz45WI/Syv3WqQ2mdmB0/EIpSXtdnqKHzMwmYVogfsaOxy03AEqemXL+zS1FmFk
gZupBCEdoY+bgKbmU5SN/jqzGhSv4czMG3m2hMBOQoJfeMiI8WHtAU3e42qgDcu1KF6ihHwE3GsA
kmhZ4t0Totgn5MYzYfSlS+i78rz7qkCwoXE4yOrntNDvaf7Zcr1dJpstr2EiEDOSZS75axwge2MB
SqdwM6QUU4juaU5rjo57DkzGIzqHGlMlqzkf6A7dFrP9j1OONxe0sjWnfN1o1xjjdeiqZzIByI17
v2nQYOwFoYCHKCHAYkUr3yrWrluSb2YnDeSA6NclZZRAlOlAlduZmOS+bq2NZhln9gMnN5Ebuguv
flVg92ARdrUl46cXxre3EZmtKtFyNP/U0cIJJqNc0U/IZgYjxERDkXDxFob3SSIeia196k67DTh+
0o/0NrLqgCXx7uPJXvqZ914m4ZNXuafYSQ6m7T1VqJyLCRSptGNQ3f25QmbvHfMDvSzY2gaVnZBm
uiHbeg420KRrHqvIIIeicIABdiPJlvgUbrk0t7cn6vqexok9kl0ZuypMl5o5IdcRO1JgxTbUvj2p
iXYrveGC6xMGIpMGQbjJ3yph7jH1Q3cPDm7pbsDyh0vGdYQSWu3gmIW1HqV9ijw2qmrATBcX+aOw
sSOPtdFCEY8epUumJ7W0lnxicqf5WrOwiur/kHceSbYjaXbeShnnSAPgkAO2WV8t4oZWLyawUA9a
OJQ7MOI2uA/ugDvplfSHLDY7M6sq22pGMw4yLWXEFYDD/fznfOczbRyXxjP4QZk+wzclnaHtp6gO
96luLqNdypXpuABdkzcY2W8jQYPVmLoXETVnWYnH1He/sRijMGGDjPR320v6SCYKtsak/qmt99Fq
rL2vVHecsuaeHvWHhrjoRiRWjOOyJf02yUs71DCOhih7Vj48I7TulI3SunQkWUH74HCwWAemf1UU
zbwl2EAr2JQ9Opj0jr5sAFWF+WHu8vtk8qt3xGGOcnq4KUlWntNwpGGBO6Fs6FZ0KR5M8uKFHpBt
nhcPAKA47zf5dZhaHmnSOEVd5xJtYS3GIGE/xxE4ipPM0StH+3Gp2SaZ5Q0R1w+0VcusnmWSEFSq
1LuyIMbMYcb/XVgPjO7Q0dNTVcY7GwszsXrad9nkwHa4NUwb4jDzqZ0K4stceacWWt6mHhXyRtq8
dLB4VioP2P2kpK6zmM+zxAIu2myP7nUtx/67YflcQfGrsNGNBsAbd4uRFMRqHdmbLAE1o1rC9y7m
UIO+qLyKj25R/uzAqiAtnJ18OodCrasse2vi4HqEBbMydH8fLx9857wO1ISMNb71rCy2SnCWCAa8
WF6cQd1OXgx4/Bs9A+1q8WRw0Mnf7W6+oqN8XGmHM0BC9QmRtg0JXL3twCwSI5svLZOj9VhwnTYh
YxcLzoRROhdjDHem24hVOWGWLc0R01eP6TMaprcsjHdVSq0BxDDNXmu4bqmSXEoOT02HoA3DX+xS
wP0N4BZI7g03jxPvp/JXyZk9oipYhwENMxZJzpqA10bhxqDj7p3P61hP/XMsKdVte/b/Fa0sHWZc
BlAMrkuHAsaQRvp+HDyypnC1guXkpBxad6MQed15bkzu1jqoMf9Ni48kHsiktNdLeIKiKmj9WtTQ
Z2nLOZSjUb8DnXzti+TBq9q3SchDTlhunfT+mT518nghsBHDmZxdBFN0E1q8wcRKobJFBmWpMvgg
hvVFH0iwxgXkr7123DcFTTRekVzmnNGcnY1odzr2945boOnF84BlPfJWPLWpW+Z418SM9wVlF5EX
EUMXHC6FwC5oUxdEeaB5MJopvabdIloNad1tfY9iTzvxmwMuThahDpsW3Zr0D9DIsZKJu5RCc1Av
nEFfzZqtQ9lg4rcZ7+05KC9FO+0zqDcOkQb1410Yiat81ptgwJQGvosKGK+HoF6rT4mv3ZgDZ0dD
x3cVLuBs5JqjcPV0hIrP/QCXGvXlkrXQ6jt4Tn6jN+QCqa+vsv08h3tvHBmzLu8sdjDeYICOVkrX
eOsHRnZxUt10A0M3gtEAOL13PUI5Yu5NyhEMPV67+zzBN9fW4hU7xMIcPs2JeT9UzsAdNSRURsJD
UL3BkF92NxZuzrzigEBlkMYtyRk9YZqEPc5mYhpdD11414X1eyOaD3NkIFHB3E5zZuYB+PaMpJcV
Yy6eTfACwSBIvKr7tnMfvCH5TrVz6Wp14zOD2c0z6Sd/XLQYSudi78PzkcLceTlKkPDiLC4eRJXd
5Z14AAfNSOIJoZDv0urfDKm+MJky8Re4rBzUUcQ4ZsOQ/mdvRmKeDyyItxUBlHycLjDHGe4UCtNS
u+E0A+tyxuwQTc46F+ozM6DBmLQgggZamVOGIjkmR3+yX3VrAZFX9dcseOyTxhcUn6RLPILEoh0+
e713Lo3oGDHxRhPgQeGEwyouHYKDnty7cfAWRMPJmEjnVoZ6tHz7xspRSUlKJLuAvjmQqTuuugDe
ebBPEvMxcIdL0I0/696970L5gwkQ1kEDZTpJS0ygURZu80LBb2oaa8e3yvixhRZp0HE/mNLfDC4T
PvLmm6ArKYr2oveETQGI9Ow8+MZLMQWH2HXv28EOaXFEabZhe6dQylaNhuA76OIm5oANeK4Q+xlK
CzfcsbC606iKV8vuTqrmFB3QIfLQW3q6hBo1qij2ooF4bdCsRegxvNCYHaE6DQAd2JQF4cRlZHCU
X/bwsH+yB46Y3bXfy3TrjNWrwtZRiglVxdE/WfreqpRxWkV7ycoAv8A6jmXcTYQ62JHxDpofxgQ2
Fny7PckS3C7elJmXtEnLnfDoIdQ+F2TH83dVG+Vj7NDn1xvc6gY98yujLxBzgxhGuhuzmuEsAfxC
UZlNwYhNeZCVpKtO0C/StYX5Y9mvGmncQWhB6+ZSXNsmPQNxElBpHTKrKpJTsADN5oz9EXUGMT1O
ibmGHjCsyyl9bjznpm/6Z0xAdHYGWwvLMNPpb9IIM/JZdm2L4QNwlYfIWT9UoeWsQUGwNQ6pUHDI
CzLpJV4VE7SghaRjHF2BXqGbZbCrsxwYB02SwWneg9XJ8EIZSf9jNrifRwvkut/jRNWFe1NbyOxz
42GSshmJoHFt+sl7lL82EAKke5fmINaek1yxTfkkE/AVpam+jGOA8M/qNgMNS6nXarXz3ZTue1qY
L52R3bvK+Vh8w2eCtbshKd+13SZ7E8wdA4HQ3SWihJlvLdgD/21wiy+W5WnNMpocjGB4p93pzYgS
dsZzcWKDs6ZH6ix19CnsMjpZcfo+aZz5CCRM/uluC+ESaAcu3TzEycoy9UcYIGROw6lDtwIFUSbq
CRPWuPJ8dejKGbDAPG89y34PTahkGfghvkUeLCU0LGB4BlL1DN7dY85J9CpLwZQw1HbODSrUvlSc
w4JZfbXhVz3oCwVjmFxz4Mpc9KsGCwulHOw0Bk0DzTSdnWl8EXN3TyM9jk3OCa3zVmnL2ugwf8GV
nm/G2jnmwQzQxqdBM6cPvLZfYIuuJyM5lr57AQ9x3yTQ/q0w/Rw1o+J6SIZtNk/7tLIPWPXnlee1
mxpLP7V9/TX34ZPGP17Wrb8ljXhsquowCm6B0ArWeRJiWh4+MlF89cKLj2oQtBc7FuAPCWfIpEhl
E1bOtDVM6GUq/Gq6/FqM9RMps7M19ndObvwMOOzwpPSuiLEhaTf20cXBQg4D5gG6T5ZfYoJVMTTH
FLpVZVaHOsgYC8DYsuM3Or2A9ec5gRI8JqtMJVd9n79N5AMwvgCbxIQPiHIlhfkVUX7ghfahZFg4
Uhu2YWw5vxX0x5l5dz8Q5NlT68IhZQC8SOYANTed1qxrNG2QM2mijry5Z4MSbtJ1XTB61CZN3PaA
Y7ptjeiwBHowT4FQsoNuKfTC7k8SsS75x3h+Sd4z9JtDwaXSvbLW0JGVs4APpsfEVLvTppODt2rM
FJkZqMIhhothpbrditxVO90RU2mDG8T5LfxB86zTyVqPun1Nmvy9z9gp0j53v9RnhOb8ltb5a0gu
Z0Pl2SpgFrvh3n9szO6r9LDe0M9+mmMcvr21z6TNX4TE4iKfrou6v5pbyusVXePxUqZHtI/9GoHr
qS0/BrIEK0PSwmAH4caFKbfq2QURAe+uhjapNzAf2F836ywOXsA8UZgrMHKEhEhmEkXrtKe4XNLe
xIFsQ//AvhMG+ejgPaAHWNr9xW2782CDoMWWscU382X0yt27af/B1Mllj7UMk430mpvsO1W9WMdt
ehjSgN73n7HhL4CQjvAQt2io37oR7EiDR1obBebfhDeeqw3Nypuu5OaKEmexyGxTGWHHgvfDC8cL
4++EiYFDoa5SnRvscybiDctO5s1vOmUqX5ma2X1efSTF9MXx41qTCsKC9DzrCGhUWe5YyjVZAxFQ
y+V+ZaZzE1XW3koDTgg1NOhO7VVJyX1b8ugviMBi/rgzOurVR8L8VEiTRCzAvVlaUgbbGngxeTG+
e3YHqke069xMiSEBW1D/IhlxrOJ0/hws/830OblVbOBw4KotVw+wgBRr1v+P7ubf2pQd21z40P/Y
2nzb1uN39flt/GvRfHfG+n//r/77L1//9j/+57/OQ/t3ftJftU7/F98izxYumiS6qWtjN/6r1ung
WjZ9bNCBQ7WD5dj89v9QOml9WDD7ISRb2NRwzP5T6bR/CWGqI4K6HkHtf0LlFCipv499e4TcQaA7
5MtdXsgfNE5HOH0mYzpJpAckq7aluclDXd91I7JA2o/v8YTplbJoQjNdy00CKfveSIqr2lDVyZz0
7ejN4lI7Q3glw9ne5SYfW+BONEc6xtq0WsZPCUMT9hu00XlDviObbuCAbCySc1kzXJWtXxBbFV35
rIC8cOvmrwBGwMAi/B0Hop+cOGafKrSSW/Y3397/ycH/tjzB+r3Rm9i7R4GuA8QQZiGGc3MBCv+G
4zsCZvOcOKDvzhRXlUCDnG0WCEu7Yj1Z2XtcGyfl5sW6mp3robWvTc4dKzmyj0mY01mNiaPLDO+d
ykAxU0yR/vwF/h5ovLy+wOSMBIGYldRHKf/96/ODOIAfy+vjkYEfaOZpMCrp7/78t/zeJ/3X30Kb
LyQBvCjgt/9wFYwM/AvVwpQq3GE/WawUuVl+TrZ/72aq+y/eEgr9Hy45xCdM2bxgct94+X//lsa5
GoMx8gFYKVKDsUt2PJAUs2Pz2dVwngBwwbLNaOr98zcZLCCF3/9mVAQHVZ/v2aUQYLnZfvtlO7OV
dAwcWkQQB6WAuRfeZc9rsPEkLty2ONwUnCPeOTSEDtsvAIQFT/ePOHMkz4nSyA9ZH2smb9N4Tqcw
OPu58wI9dCCOkix2bw4+W1yB3g0wPvkSmVnSsG2Jp/1EBJt0X8oR1mxiVvnlvTsd94qpSDWVdklq
vgk4WpOGdv2LDxFqR/+as3Y9hAHHFD3murwJfnRzZd2gyZfvSSS6feRbQMminlBPy1A3dFJxF9B9
Kdd+nMsL+FYM9kCVHUCbC2CqgTdx9sBzGewqe+faaL3sllIyEHqDab9mXVqezXFeogWaSvswaYf3
pqktHLY9OgD0YwAjHvqN9s2LlLJ/Y7OB02DuKSrTbh2dIX1akKPYAK90Ksn9tb5QmKpcuZYmB0+a
nOKHvgIwa47ICtTpWUfbTqYjxamS4SP6qIgA8EoRvM9DT2zbn7q9KTrik2VesHFl15WEEVj+Gqhr
5XmSE3bpbYmyMRqkxUjaubFVbKZWmjt1XarxqEX/XUoqunyvhc7mke7kBaZUfKb12W+Zyg+dBIWL
UFxZxjbH+sGOVcsjDkcS95OBKrucwjoiFm3wBoeWecJS2l6nzKLHAocuYDoAUTNU0AypIJF1viHS
tnNA0ZZz2a7x55IZsH/CNaOnah5KpFtYT0XT5BtjYIwzFdUNRJoIJXSYOUz5/U9sTCQJ0VJv+xb6
rvkVJ94554x24KcQxmIblmXZdeAQGYTbFK4SoqrrFAo+zNagXjF+O1aDL9BRhbstE7KGDcHGWwXk
DQio3Vcv8ygZ1NDFmuHLFYn3YDe6uK3mrn3FZ4Qrgw48ZtzSmbsrhiI+0UQn5dMjbPira9ZaW22Y
Yuhux/qI+aZhxu7rkyqjj5JdNhhEo87fvTIq0T2VjHauMnmhWTlFxwaf28RuJ1Z3jQdNwo8DQpFg
xQha0hO9MlCaCOMPoOVWeiogDY7R9DVnLQAcj3hjWxTORozJsl+sv9xpcadCxDsIDOSfLrPpy6Sq
4sFqKJVZi9Bm/kOs7NEa4JFgAZ+OBMia6xgU14vbDmIDfhDBmgfNptaLQ6Pr653bjwqLvqYeusAX
u61F4FNYWbvRvrei/KjYv5/BkljXWkb9k9P0JGrxinJOCLJgQwOJ9YlLgHhcn0b2C9BDkoyZNdq3
RATTL0hN7QEHk/HWdXhnGZ2gBQWgOBhxfnPrZ4+NZ43XtuL0IY1lxuVybd4QwyMYQmqxxABjCmvF
q0pPPG2NpeyW0wdHiy3n+ebB9pckO0GHH1DE85O9cIpzWv029WAi+3lm3d0qSS8w/AlCSUBL85hq
5RgETNlBDl7NWDdPKFPAQMys26d+X+9NbJq3KQvETau52D0J8SkemETJtK+vQs6OBCm6fNuYNJE1
rk0z05TU37bTSWPhgpc7Nj4/la7sSwlCABi6wVa75ek/Etl9LpfZFDmj+kRGGY9A3d4ht7jMX9Vn
H4GUFjHxPVdBknXK5LPLQPyguXdrsITIknnb3zS4OncijIqdUCaoOA2xoKP2BQNGY244MwfwK4P8
5DkieJqt0rybVbzBf5XvBmCZx9Ir6ke7qzgOeCOh7MCB5liaIFPptLxMnh29JHhyiVjQNanjGe5X
YHNeEhVnpqA5SJ2d6zQWDfdla0DNpsYtR6qbV9roIVGO87FsqMUemWifNdMQOmGkA6EkLr5k2zAz
YgS8n/v5XcYVa5tbfnakj3Hh1862yKv5DgdbfZZpNl/MMQVr6TbmjeyLbjPmI+lnxj24T7UmXb8U
fSqSv7Y24bk2ZcUJqrT9k1dZ9o4tqHrMeCt3hq+q9RRQg+pxBiZDb11hPnlNivaVTZ53GAImuIPF
mGxypl1Q9H0DYkLbu3AyFd7mfAvhP1/7WevdWvyEb8sD+x5Oo3/P+lyBy6GOWVnLk0fJYj0GxdvE
rG4LPh9acFpcvLY9DbN/S1NXsYGEbG7K1u73YcY5eJSGtY5hEdOeCCs4FCYdLCz6nhupM+Cym6lA
EPesT62n7ikRFnwdKPAvY1k4Vw1zMn/SHGDpjjrUHebB2lenGauctCDzDx4Vyr7mGdhKh8KF0Ub6
BqoFfJv7NiFzDGemKk7Cf4D2w8Ourpuz7iJvV2mEP4I18V7BcVlxxHyekAwgJ9kMhAy1dQrVc5In
mW3S1EhkaLrq9YLkMilQtuij4XGKQTAvZ0ybKmZA5WqKiqXAu9xEcUICmg9b+NOmmIqfqNFXfKnI
NfOqH5r5kEowkNqO5HVbztauD71523TOuMuNkKmL1WgDFmn0HHX2eKRGkJ5kPJyZ0vEh7lgjzYEj
Zh0QRUzgq85ojH3HbpNnsv0QpZhQe+Rw1FVpkayw6If2JSWEwp7FwrNJrxErR9wzeB7mrDFfo9jB
IMFAYx0E1b1ftPzAcCAswPvrWNK8+lZ5hvHeL7pfAxiDaQB7/wLfXxKBRxxzst9x0WQ/MMabPzpA
9zTex4/ALkcMcaW1RvuP8JEbz5BI1cruEXFJEZMzgkR9ZtX+KeRHgdkrSpP+fpzxJXuJ8Q6lNto7
s3uVqnLYzR1hDxmKt8YY9ZYhz3hNNmw8sTWO1lwUX8PIyAq86SUHBLq2FS8qbU9kgkiEehMXXJpY
gBRsL/2YzYRAyjIDE1WOQ0QR7iwFvN4BhgohF21UrIdVcF95BsYtazTOIFVhc+hi/uJrwKbOTWut
KkR0vF+ZiSgLe93LIU2lcsDTMdI0Tbake0IdCK+lzOVpiOgrYh6FbBVbUj44Q19cSaorjlSRM7Js
JCNgMoJ4zlCTsBGM16mDtywD7h9v7dkEsWW+ABv0d40hQgDlDjHzDmCBUllwcLTYcir8AhwcbpOp
h+ZlPqQkXraMbUBBReQNM3d457EGZQpuw3xPSc8yso+qPayPsF4VAiIOmTwMEn4VagJyvdWtcumg
fvVFvM9l88SuSf8QcWFvldVUD4QCGxl9Tfj2gJ1ne9USmp1UkD8rx+7uY2bEV4PfWXtb9h+6zPxd
jw58bYLQOwrvtak62iegle+rEiA0/FDiUCi9TDbFqbZ65pjV0JMaM8RBMWPZ5lPx7YNSYXYcF/lG
llW/BzPzWNSqPlLVxYjUpbA5d1pzm8c5r0rYumDIQJqyqOPyNZtjGL2pb8hXGVYTkFO6Q9B+49dc
uxiD4cHf1kwMWNOID47KRvtu5DGKw2Q9hpjUir5BxJdj9uDJLnliFZnxbJfyuu977IHGEBKP4vE7
PhZTazxwlJ9v48RJty2WC3hKSx9pkF0rp4YlVcbGqqpU9F1QuYbJhpJZo4/0tQDfZKxq0yAuafe4
/nfZiFC7hh1DIw85iX4bgmIr1iTy9d6yjJghbJdxIGuAvw1d4BEzYYM8z9mNWXvYqGsmIn7XPfUt
404nwtQ4KXZ0OrCzY2DijvdbCeZTk/PgGVLiyai82yiChyO1xluQGc8KnXcrKl38aMbMGraQNGta
hxO3XckpsJ27Vk/yI5wH7L/4B2jL4Dutbvoqnq50WZZYA2G809mQjntrgGzGIleZFMm0fe8xOYaI
uHLymEMeFQMs4XHk6haDSDc+uVNsr9up9pa1kw2jSLXBmVc79x7e0jON9RrUHR84ir0mp+r2JN1g
F8yrKcV83QM7PhlDltyNTJpiAm5xceoDqhFhqYcZzZckHD1FvNkUjjvtm3wokAiK3Ls01VC9UvPt
c6bzOVCOumcE70OVj/YVwby7jCwCVmU26bjferaxcQzivGYPEjojjPRBt2S2KXYLWBoie9/5uTjJ
hpr2UdozxqjmYcrmlrisTwsmzwosRInouXxHBYBuoNmBrHI+X2ejlne5JbHux3A/8I+Nu5AAJkYi
zlbNwlvIgCJfzXAfNj7pjAfR5Xc2xMqfdLcklzYsyK6F41dgMvaeEp99A0vg3mpyRFTqtzTHupY5
Vu814dYwAnoMGYTzrQXaaNcSju68n+r8V+N4xLqkRfhESzmO72yQDlSR8aV0e0+x2kpCdDBdaCZS
RY0mP9cPeEmpYvaG6WcVz+x1KQ1CJK+T+mBPpEb8YOgvmmwU1pJ0Al3q5dlP5UIxITKMUTnRrM5T
6G+ddvbndUkj960/splxE47RRdKrS2HHFs0kdbsYXBa7NnNG6SbVo8ggkbpc2mcRzCyMtX9LbbJx
YAAbH7qm8TZJwMMMi1p/4s5jiKEpRO+Ym2wbqThoRQ5qAGYFC2oObT7PKkzDa2ds7VfCDeGLWYbB
poOgvg+GBTfbe15yp6c+egnmumUZnTGgxUYs8fTkyXaqO/KCsW9FPDtnD1BuQQ5no+1lBK2L2ED8
bcyzlwGQqxyjvu4a3964NoJFVPmfBZHO/0JlQX/8G5HFRbJy8U4iV6Fq/l5kqZo4w/7HsY1b7KJw
f2+w0W0n3xq4V6Z9PdW4FsMJxU3D+Zuhcz735QyelIXIJTK1sYQ8VeHw2ZqpOOaeCx8xx5HeVxBb
Oy/YVqlBlzqNRJTbRxeah1CrZv3652LRIsn+jVaETBTyB+IsaOzfv41iZgQnBEPNyKEWBZzZzeiJ
aUfWGAIfdnyjSKhvMvTPqSegGXC+pjVO3AYWyZfSsDMCLUsUE1S2az3mEzUEmTPaZ1FWp2lO3jOG
Q5Ymi5IuzpfSDht21eFtFJIHzCZbH/787fztu3EEkQCfqxW+J5WCv3838WRH1C/hHYnKuL6Q8sfQ
6ubziVD92XSq7urPf93fSHxYc03CHgjauGdt/w+/zoYm3vaKx0u5OO8q8e0u/dZtMz+1OSYYB0OP
rxi6//lv/Vsxd/m1pN8EpmKHTtw/fGcDSntJ3It9htstvjrTXssRxE7XM6DKVbE3p+aNuONh9p1D
Ar6aMIjzgMsuveLMzxYJe5bZwsCAhNBVxfHPX97f+w6ocwToyt2O3fgPr65M7J7nF9/BPFCYVJB0
gu9Ehl+jrkxSfgiriXa//sp/ynv+D5m7v0Xu/stjjVBQ/srd/b8c3l/nCv/5d//wB/0/Au/97fjF
gnhIXTXS8j+e5ay/qx4G/fN78Zev779cob1+//0f8dchjmAcIxZTOuQZpKJg0a3/OsQxf2F+wOyE
MY5wYPyawVK++h9jnOAX6hv9IKAHcfGrL/8KA2af/Pf/5ni/8BMROuDWOD5gG++fGeVY5q/lsr9h
+JpI20ujJNMihHVovrzC3+rbqT/PgPyGZgU74H1wBu+aAySoRGgJWG9bvZZxLO8cbonNVJLxSIuz
VVj+zu+Ijluso3VDmNOEuYSIO8RXjTzreKCDQ3KggzlGWwJZrKem0O+id5K7Ii1jCKr+h5GwQJsV
aERpIaEm5eR/AkLutxQoMnzW7SkUWj9WZdZSJ8M5oq0obqmsajx0+KhX6RRZ7wn+Y+bewxmpmNeD
+fQ0WtJGxza8b0ICsDu1X978evRPgnS+AICfbZrcFEzzcaxOBOcikLY+OxU0YR54qYpu3Gno+q1l
GwRTexJYqUGPwFib/d4CTBezJ8zmq8Bcko3wOaeT02MuizzHumqnWZwaQ56hNGLxBvZ3ZkRT7FWN
pS1AZryLrSZF329ctuT0xDbbaOrdcj37BOC9SZ87v/B+Jgytino+0afjbZCi6XAwpZhXUa+p0oY/
cYeojWNuNxYR6zPBwxXciHY1ZvlNDQpkTaubta6Z6pMJPOCBvBXoQ/uYP7GzZq9RMkW7D1Pjs0E0
r+vCv0amo/GqA59IoB9hL9Hio8nLK520y84nGI+dltQ1knOdY7nL7fImqQG0uQooR2jlLbPwtN4b
vYm+ZWKAIjcUnFWHyhQag4fZu8V0kLcHncbGLXwdsk7w9yEOpicdgdfAti33eTA+xfGbM4PYUOCh
aPYNP23hPOpIWFQICHl0qENgqg9zIytlTkPWEO6mfOSIR7bCWQGehEIzWC4RK21FGwpvjAOnAeDU
KlEbUeYhnwOfpemXaFUGMQo7gyuW104BooATOnfPYWy95rEB/HVSeR1h7UjkVZbo4LWNbHmJZtQJ
vIfFqSo4Ieso09Dmid9JkAzv9Mq6e5E7/WkSXBK2o8IDTL+fMI4fur5/idq4W2vB8YhDY/XDLDIH
iwVhtLSfCVPqnslIL+Ri6BDjeram8lFrcMKKMpWLBZ/2gxHJsULl2oVB3P0QQk3vjmrRAsKQVC7U
k3UW2sMhB2xgbpuwr6iLsCGvzKm4uL1vPmRmxy8xfQFlJOjEzYANDbtdYJkXugrey0LKqyqTW9ub
ruwUG0To6580vuEIKX2EwmmIyRPaaHrQpcBTB3mSnqack0nphsl32Um5S7l1XicnBJzsDPIwJMHj
KJSDkZc+n6of033QU1BsUGtIGKPdNhDpXKS09dCr4I5eSnx+xhpDGIIwDo8SJgwGUiu/okXt1W34
D11sKJ4G8J0bwRc2eS63FinWxPz5NnP9i4EIInUIK5iBjGH85Cb1Qq5sMiw7x5fv8Lrw8Y/xC1tj
sD4WB/eykQnhTXS7R4eT8yrvhmZrdxNpL8v9Eg47NmkiF5uVy00tB7WL7Fqe2IrFqHb1pxPw7bJt
yLJjDmBjE5uUTeZMlNYlyYF1XvlUIdX4/UgfBLgsUGef7TR4zHuqrNqEpqba55jutPyACXYtyApa
Vr0E4yw3abOW5TCA0wFewnlo6Q5NmZ9MUX1rFwD4nJqIBD2p8wvex/AtNvvpFKOJUZ2LuCT71EO1
SdzHgY6CF8WwZ6vYdVH2itSQpCMMpAqRyRTiZPuZ9nZ1kcobD7WFEidfL72nsVqx+JpbJ2ToP0wN
PZaumfMtiacxagDtDAzbaGvtCXtOz3Zmext/Htmn9kieZUnnlNeHdLSYjvFi8WFj44UP8hhN/Guz
8rszYRwSsQXAyogg/xoMt3fMWtGSG2qHpzko30xp8mFkyvih48x6HOtGvSqJ/BWn2KRz3zU3WcEe
XMyXQu2IlRKryVswRcUxg4x/cit9MeuI9tdwCsD5JW9cb8H1lGi8CUZGhVRivse4ntdTbBVHnanv
IcezmkCa58sIV6q0PaZoQUbyu0zB+SQ0cvXIakPcuZs0ifXZ6adoUzeDv21pzljclwJnbKs3ZWrR
0Isri/IcIt+G73UQc6nLBi4QmM9KUNQzjDy2iNRzeQg57JAVoCJlFIiVcBuH8ESqPwU2E/TfTLLG
neowIKiS10u7JKzN5n4U5MOEyKIDxZMs3gaN2KSo6+OgFIDaCvBY2QaXeCjJPLNHQZ5aRs4GY09L
iath/gKI2Lxo1GaeOFXG+d8B+zu332nsPWuqd/YjU7dDkcAvmfqa+YAeOiChdhw+RFUV/2D4e9E4
Kw+wIfdIxRiUU1zJrZ/sdSf4sVZQfLTuOKEQDg/RDJaq7E3sy2HyBaOIIt/J/tANdHsvycQq8hGC
8xLVLTPLnyjEzB49eLwOGeeD17g7WTGWVSwc0D0wQcaMhi9e78b7zHLEhhrbE5ihx35yMY5Qqcay
SXgrrZ5oWaq2zZxQfRcuj9TztDzus1bROkphSdlKOnAm2j8MzWwOg0mxnlLwIU5vO09xm5Bc9WPn
GlEv2OUBFRqR77yVmiquCI79e4rcQCxExMSi4fMHmo+fpebSSCAO1BeUH+ZsuA96SG8TcFZbDyV4
x1PtGKpu7w3BlWqDLxrNDkyYTDLOyIuRjb7uaV4IGxeLfnUFAcNkD9O0NXFyMKDPPAv7zyhK9TXM
iOSKHBIuAsPN3j08+o9p0TOMYRTQsZW4q7PIWSlPnKcBFIukaHHteWgGYiYPo2Mv25uuAZqkGBEt
PfMIv+9BNnzYfRDfxEU9neoQfBn+gumGfqAYaRiit8yBKuVZpXfMFjeu4b6Ax5In7rXhZ9SOQAwh
1F0E9QDnfjlgTk5MHRUDqk1iQfGQwTBs8V53h2C2nUcCOtUhGo0rG67/gXqfkd7Airsx9Vt3SXxs
OhyyBwKX7Z6WY+/FCv3uFI70/WSyUzu60AR7V58+v5lYEc7t5t3O7e4gC6O4mgHyH7swP+WuNx/R
EeobV2LVUMbARtAfjI+oH/0zPZYta5U13NYOt3oyqoQtMPbv2FDz2mgUIxTZ671ho75DN9qk2JnX
QZSJvcpyQhYAlNYidQWt5oHbwFbImOXXU7lxaz5O2MPjNXZU8ty5Dh6RtVjjkFzXw6SiPa4+aFUJ
I0DZEuUyTCD5BOAPymbnO8T8tyEVk6vetvNHg2YqdhJm/prYrbo3o6jbWnXKMB7c4SE1PZ5dj8hz
vOiaTAffHJUTI5Ft8e/sncdy7Eh6hZ8IHbCJxLa8YdH7DYK85IW3CSTMQ+il9GL6cCc61D3qGWlC
Gy206Zk2JG+xCmnOf853OIexWx/yMh+uSjE8+bgFtsXMdp/PRgBNFd8DSQCo4lTphbD3ogejqQWu
1NJ5DqII/PcwyB1eSzD9ajA3opWwlprEudHx95y79l1hq34XEzWhAl23Zz1yTvQGZs1ZOz+Dq43W
gRTperLLG+FbCTiCwblWbWuum7liSj07cjNX0cFKi3pDKmk8DBPFAJVZ19u+1s2RBaFfp0hUDHii
T5aF6jYU2ZGUePM4GIRIajiD92NMtZDZzu+OD/CvTOn/sqaHtmyw4lbdjUJ2Pzsqv7ZdqHzCHABP
W+k5hcNJFRmCyV3GQfpGFzU0IXRumGwEEBjdFGsbeACzydF6npw0J64C1GzdqjC5bmTok4RELh1k
cm1bLMKydoZt26A98EyQVXRYw/lMu6+xcuJnJUt5amvHYsHPKTkiwAWbxJuPflYT6nGJsgib6jNj
QZY3feNdGsZBq9IfCL7Gg6SfKQa9n40MgCsk+cuQ9SYjPqhzresbH2bRjJ8REtAeMA0hmXQ+uU1B
axxS5mT4/NOWOEco4d+aHvwTs84pnprys+rUVxXoLfVw6r1c4h+2au2taGz7TJrRvAK5WOzyHg4O
N9mOfnouZKLh8DHhzPgsjNjYKRVKdkQmcpJZcExrgBvUAYUeM5vpiBfmEEH/2mhCB7PP6wOh7G1w
0iYsHdDIwkin+8JkU4PmyHPa0wmz7UkS0vFdpSxKRkWfdVwX7iFKzF0lyE8kknIws23SG6WG+lY6
wVXhuPq9rSyLqVVunvyCyVM+SnWgrc1fKaN79R0WkCmesueSASFdI3kJzy7qoFmhX6czZqyV5EBJ
06OznbqMClav7B9GclXbJmKs19nmTYEhetuGHCxVmF0NAzRmUffBtaVp9wQX3zHxJ3tlXfU4QrYu
NGZK6nBLLnxqjXHeSmsLYnOUP5diPAaiYDCdMz3XLYetvs/Vjs4xecH99oijVG7yRBAoIG5hRvra
Bb90HpzobU5GziQm3zNL+AtTwxff0IznctH+LI2o3mL0G/f8ZqeTGTJTtCGUHoqEvCe1ZOWr8CnY
YuaxMSf4d56FN4DEXL5R2AVkhks9sz1x6GrVbJoxGVZz4omtWhr+GJe9zx2f9XHiZDPxADylTtsu
0SETPaEP91WD3T7I4erLH6qxuPqUfsooPE8uVIlqmyRrL2O1Nn3ms1OtjrHsf7Ju3nO5A480piwc
bhxcGEOnaxqJlylPHF+nBUBUy+PMPzPc2EDcOBZJNZNE0OEBjiR5X00hx8nHYWYCWtqOIZr9JBgS
Z65/T6UBI75u8awqF5K4DS0GjkpDCY9tbNyoOdoGnnSjNTSUokaulYmE7bUtjUcR2c7WmnImXDEU
HQcDTT2U4w/Sj5Draje5bj07ug+CjHisUczixTSocK9aF41lalhV+VVj70rpmxFWOB8DM53v3NpV
HwaOoosmrwNCsJUs56W5AXlygcti7KaoGQ6UxZX7rjLon0y8gwFFbEOHTIBT0xlgEPeXlPHfrTEO
ZOF13dfXo6b2viKFCjqKkHWaTT9m0IenuYMzU1W+QZq8AobuuP6dlpSWlgkljNVIy1okbWtN92a2
LwEPipKrhK8T7lAF/WOpAyQnhj8GhYCq9DVQMMiKnfKHfetxKdRex+gIIpGOgvpNWsX4EvDsbYnh
5Fdd7f6Y+uBnlEf+4xzhJu4glbz4HbPtLMF5FeUO6W7bZVnU3bQji2mzqbnuo086jUq8CVx8y1V2
RfEKMzALcyPBKVt9sRFo/szZZ4Rt4L1pAxqXXaM7z7jY3mLZWt9iZIFZbnovxuD3u2bpDe7yaUFS
JS8d+z4byXSgGG4AKo83a6zgshIsKI4EW1zoxcK5b4iC3+P//Gl52pOrAXfHpnMWNB6pFew4frRS
Nj4+D2DRTlchOMi6cKxt7Rvl/l/XdP83au2fZN//49SRv9Bj/2kf27pq1V+JuHzR30Tc4DcPj7cw
zcBEJrVNNPq/abgSIHmAvEuZux0sDn2+5HcF1/nNxGxnotB6NjqVCQz8dwXXQsG1Xd/3GHiBMqfW
7V8w4y9TkT/It7YJ9RwTPhhryVWGDf/P8m0WIzt7dPORUwVplE+FpCIL2GZTxFc6kZ9/ELtv//Z9
/2h9/4ufJvhxNL0Kh+JXsZil/+B8DwKYN1CmyQVNU3TCXMnBuKIibNRecuuTYvxvxh/eor7/3evD
yy4dxyPswGjI/bupUOnwZFFNRoC5asv9wNN7vTirySIriyqDABrkpKwYva103qhIpmc0HpNDSafI
cZrya4L5lKzWqg0eR0T1k1G2EweygropuBB7NCrzmvYAKAh10e7i3rc2GTWwO3ZA40Da0Dul5VBc
DJh15ykgHS8pwoJ3QjZ30b2JtnJFItW9q+HPb0eBCMaksgEuEDE7GqyMc8rUc4CxuBwMgIfW2Koj
Os26a3MsHpnY41iNobvJkQYZEBpERRX1qQQcAMI2YEjCwaHuKSSPRGVwgyhGhrWhRILEUbqWvB13
IurHs6eDHlWxT045PdXbSODM7yZqHJD0861lBkBMSWTUYFPbcstZ6D6djfBpHo3PMimGLx8kFg4W
5zVqVH4gWFBd9xoKWpjYLtdapUG/hrwPVoc0AQY9hG0/GllPHVppV7e1jZKPkmHO13Uc8L1D79aP
dPMYYMdiq+7zD+XgUwQckMifXZkFCOOteC4Cp38sc6KTqPChJDUSjky1Z03CqQGA1o0pQGm/c6KT
0zTtlw84B/8DA+FjK7vhJaDYkmuRaIqDHLT5amOnP4vaJq1v3Qxy8m4FehGAyOJOKO29yojDgaHb
jxiLxY6oRPJsTgv4ZlD+OYHKcKPnur20Nbg+B2bUQ+Qk5UU0vrGJC1LvaekdM6ej6RxhYFvF8rsm
NQ1kxukAMnPdHyIvIMuYBOuJafeqTfNpp0XV36UiydY6CS0ojwFgZyN311WHwSkMI+ut6gE58PEe
Nh4te9vKpcPZ8VAZyijpT0wHr0Xl6EuZ5YjJgZk/iQEYJay3cZvTG3fT5Xm5x284bYM6/3RSnIDz
OBQ3KhnHLamTeQ3uBHagjYeAdEi75dzoctK26puulfIun033XhMhfko0aWdZmoJjSNyekhZ33mJL
gkfDXaYu+m8jHc19zXhkU1jMg6s+se9nx1CbxMAJtu48ilg1+B1Ek3GjoIDj5PPzyzzACtUFRqB6
iRf4ob/3DYAPiWuEe8NU6b3R45Ur0qjcSD7du4rA+M4f3OY0NF6+6Szh7vN4mtaAOTTimAXGXsN7
pKWm2ZI0j4+xV1V45u1gx5eWp1IHB1kIZw2siSKCEOruMHf1c9Dr4JTGRYW9q2y57BbJk1eA7FZM
tGA8c9QoF7Q9MBO5QTiLV4MXxrupLTXYE887wVird0YQNwdbJd7O8zvQe422d7++aSxTf0HvgS1T
87xukiSl+4X/DpYH36C3xb6COIAf3BmvPIAIJKQ6Qh09Y2fT4HEjKODdzr0X7sLGQP/mynMT5/QF
1tq0tmmCfaMvup7jrl/ha+zQ2AB6fJVTa+/J34srm8aBbFO7QYyJnu4l5gm2s89qzrNZ0XJCK+v8
sPgbyUsNjJXAxKwcl6Uo6Y2r2jTj0yD7K1W3AMt1cXQsZ4ST4gBuSuPpMOCAP0LHzlaSNMmxxs28
gyDM4187eqtHfH82kMys9749PuuLLci7VrKtdqYfYQYSdGL1k3th7QOdMoFJHULzmlZFnDz2iAkq
HV99Y+nDspacdNfH+znnPRkLSsHntsVPjH41g4veKeLwTgfNAqLmdPTrITwRys8eLVISa2nh8YwC
kkHL8CsLvfJUI8jccIv1r2ojGs7xMHHQTiUlk0000vjJxE9p/3u04FpYbpxfD36dnQWYcZK6Vf42
0o392oiy3DsgYTaTre56M7KOQdJ5rMrA/UqN8bON8NlTiX6wfboC0gUbWgGJIw4NDiCILn2Wek8I
c/06ULrGIKLqbWk5YM+1zg+mU1PS2f0YJ9oxhmTwbnTIpKHJA+tMiqjfwjp87m0eIi/W0409p9Yt
GQeDhr7a2w9aMXKtaJ10goPnUlRcW3NJCtuub1xnHOhozqMTiCITSLnjrpPIqrjXdQAPRcKsRDlL
sTq0gCwZdzlMzi08JM67tRW+ISqaJ64s+bq1/PxcGwZn/NDxN7awAZ7O3CcC37hCS2y5zgVyK9UC
36rKTRfnxTWcUDQrZ3gqjWY3pPPiPVfNzu1xtOJroLXekRUMiKLb5x1wpqgnD1QTAjhPmlr1CLyZ
X8Efn22qNCCRxFsEsEtBUmBrKcq/qsSJ14DomwUpzlvR++4WYsvRMvzbsOP6HA5PnQvkNpz8T69F
BCrtdheWiwRe5dUJBYaHAS/nqpyoChVp0jPkYk0eTZiQQRnUO9SUH93k6w0upgulDeB/B8RYNjCc
Y7OzV2NNEIUmBDTW/G5kLWfCVl6KcWhBcQdH2tlIOGP7BVGSvgPmKTEgK83XEgMU5lTuugKm9sQ0
GR484eIRm6Jt8Sey/Gln1NW+k9wg7aVq4NehoC9Gby3SNMa6HqNiil/yMdBSrIYr2c7Rto4gVzD3
Tg6FQlNNMXKuTCOa7uKxvdDoNx/aAXJVnCoElwJnrRtiT06mTm+ryOAZU3DhrVm8jRhxuNfRtUGl
CJBRUvv3//x8ia/hv5z2fIfjnmt6lsdf/3y+VFlcO26Bv5yUSbYBPNEcTDVScRYCUPnnP+q/HmVJ
FHoyILsXuEuU888/qjO60jMgBdDGPXAZ9ClCIPtNYs+xxv0I93Hz/1ewX7XXf1GJ/RdXMH79/9hV
8+//ln8bX99AmT/ISf/1V/9uqPE8Se0qRi0pHRNj2u+XMes311sKsQPfswGXi6Ut+/fLWPCbTcUs
/0bS0MQyyr/6/TImfyMmy4zLFdh0XMu1/pXLWCAWP9YfrmMkHCiUwkhkO0Fg2dzN/vypIinKCWgA
udPXxFGCjFGX65fVrsuRhxzGe/cxhxW8wpWTHzAeUy5AV+pQ30+iecTEjwckAqYRDTVlcqiZZrFK
rq2kAIq6zFIlrviioiiQk8ktSi4nY/xKiBLOk9M3N5FSu8GIbgpqpbdpFb0PUqt13lX0BJf6wSg6
RNEWEI9rrmPfhxSQGFdNCSOS7ZKY0BBbOPPBO+NZOjcBNt3EZOiG0RvUhZ/wB6BqYkNM85aai/ep
KN8KQ972tfPCQ/qajOpipwYVckZ1UhlLo+kzQoftaC7gZGKkPcsrNnfiqjGTDhzYH4QDP4uMaEuD
xqPcDu1QxkTFIMcBhrCobFCMNIq83wj0fVjL7TtpjJaxJVj0rCx/cE7UazUaivglloQC7ssKBo+4
6sMaD0KDLyUqh/w+y6tqB8B3oOeIMVrSBrc0Az8lU3ZfeHh7w5HTBBqVsZ/7wT3OXfmV1d7wbYRR
vSIGcePy4VpDVKIhy4YaMgt918nwZbIjxmk9VwBqm66MkGCWTKnRjUmtwn+Ogldzrr/AsZnkzwJ7
LQmarVxn2TdqfWjMxDpBpaKt12WLzZOvoeVlDn31g2UItLJv3Ti8dThF8BGErfOC95q/6/WrKtMb
/BffLrWdhyBxvwXt12uUzTv8WngzivzeKqybjmhU3HIVIkUzlpSm96RYO53tlIyTNTc8lPBozvdR
HxyIXZ/aQTMUysHa2w5DIxOCe+QCO46cJSnXSdDCGI+gMG0Sygl3AHl4H5z+lZqF63BqCIq4vIgo
PKSgqaapO3RFuqDUe/BhbvAZFOk9VjDyUnyAhOOlj2FCFGDKeRes/Jww/d/VIu8Z9EKb6pP06Jqj
+M5GcUUNe7IqIlwK2ngz5+kpybz3Rlk3xTTf9F4LicCYza3K8PG4dh7sSBAzhqhtWPjokQXv9PBr
vA+xFLObE79XXfTSLN+VJPPeL9on5aLkRwOGCVqveIVG/KXc6D2JGhR7x9+FRiGuMlPvzB7DyNTg
TIOfU64ZzYdrbYv4bLZYLAQMDjFUDEN4RwTOq7NK3fskr08V8HAuAEwm1cB/1Gc1ebquP7Q+LZKC
7kK3nJ5EVF+Zs3fiLj1THuJ+h216b2c2VDXmE4Xqu3fmnz7/CJSyNX1w2OaMsASAYiEfYlPdccRi
JAL/Q0SHIhyYIlbeu0LCfUc7l+sZAA/YFgaio4q3AicZiyMO8tY9mwGW694vfmRAtvaF4VFlOjrv
MgrVptHIHHFpZ6cp5ikj53am/ejF5wmVTjnvK82JqCUoydEt3BdUWvFMIMlmREJ3XCAFRVOyBsQX
u9s6JzgwLQaDKiHUTQ7P5iDafWYhK0aRt6DyapxVE4QmAuEQatDAxaaU/lvelOuyofVoeYQ7p7py
UR8AHkBPCfwvG8QOFeroswOJXw7dvPPKYdzBVJR5yLKQUbGarlQVfokcW4/UASCYhIWxdXhbzMCF
8I9rYh26/jkionPsK/Nk1vzmaQg79BGfMxB0JRc1eZlIyjPV50EWmTvVdJaQjWwSrN35cDel4nGq
mMyb4ZTeMKQlzJhiL0kMtoLKEvdJ4X4PWXhpaouSN7N8I3uv1+aks7VY1vgmpJbULrBdw+W+ZtTw
TAvAdSX4ozSU3LcmHBoTPWAHvBNWdpJ+IeP/IEzOA06TTVgMD1nP0KkZhmuR62taf+yVC46dKSVZ
AeY8qPSR/rKYx25rQS5dZO0RDeGSDbRBCYnRgXhPzpE+oftXzYhf5fBq6v61SLqJVjcenXJh5JUm
v+bQ4r/n13PFhDhY2ZgW17m0bnLqDkg7tJfErD1AZZzEfSwMyvaOocnCl7SXbAIVZ8ZYgFzmtZXp
nIuAECgXRkwPjXMWunorZp4D1T3IVo14HSeH+YsfbWyb/aNU7HzDndGQxGu8+XZZpe+TjElEVfIL
Z1WnBHGsXuMkvFSRol9E493JJ1J1BbN8KQl7IQH2O2pK76NEFE+BYv4XTV1zAON+MEgYHkXBLFK2
lDk2VnlWDY+HbUTVQQzcy2WSPRYdn7AqKG5bPT41UWbeZJqJGx0AmvsGgUjpM/FQhnc/Aa/7tEcG
x30/XBe8NZX2TlnDh9BL6+skbF98276QY/ocLHfYMEuvv/qpxw02x+/EpqFLLDsrtTYUk5Y+vVCw
yo+YXM8GE4ld6sPO6ywonT2OhQcKuZ6J2/kHSsvntUiUd5EkPjaVmH5msX5lgPiJdWmN0M0eQEBs
NXRE+8yFW8Cv6hraRnIOR18diqZSe8X1b4vwoHZU2LRXQ7+UxrfsP1b+1qZYWeFto0m52zBR2HqG
epe0fHS5a7gJZlMr875NXST3Q2/mO2bD3Q0FcK9c0z+kiA+D4AVzMvgpnBhBqZmnTWUzd+wYCfsE
vDCeMPGD8Byex9gqt1G1BLFPjgcLuZE0Q7uCt7SbEWlV014sCektIMLJVmhXGFtC0PxV7t6D3ZZn
IG/gtLqbZfOaAlYD1Fs4VZD4XetiW2VKwx8fb3j+31bjkyoT2X00xvjARnZxmtLFxh7roxsYn1XR
GyvRxgU+II/0pOD/ucvZhP2r+GbYTMkJxqs1GsYRP+CP3G6DpaYw35cJKxrNbvNVYQ75mY4KXkke
fmvh29AEMrEbHPdUeBVMs1pCQvB/VqV7cgd8rqoA2EmfIf3cC+JxFpJIsjRXKuGX0HBxxjY8fTTI
cBUfmnASM9WhrJJ2713r1Lx4uUlxQcOuPpbPps/SEI48ee4MOZM2NRarfHjop1mfElvBU2vQZRil
w0Z4NKvUPEQ1FWv4/nD0VFqstYoRmbPOPRAWo7BkwuFt5W4E/gEgWupm5r2bCt7fBbhBetwFMYGY
XCe0FYQ9LHKSDu6TVyI2d/iLCfQPe2m1j12ioq1ENvwKMKbQeI8XBP05eLBD+3ukQXsNCodXbCpD
X2xcv2uRo73OGYmOigTTKq9hrBg8er7Pxh3QLn3B1AC2ofPx3jRMvLsK9Su1g0voUDUD+TbZVBBu
LialDmPJAdqMu/SSyaXd0Wcpp8zMAhbWk7Ukbh8qltB5MTA1qNKcnzA12Yu9CehXcSkcDBBI3uIY
4FbdF8qocRoaYPv68m30ymrtGcG3jX16hVVfH6Vs2x1ATn87uuWM2azVdyMfHFRVTtwpZoygqE9B
xB4hUWBXApvMZljMWvZi20oGxpy/9vjSIygdaY6kRYRlUSODRM10bUwLp4k00SOu4fRj4NnZLicQ
3g1F49niHDNV0f3A35s+U+7qX4EjvLgpK2+w+M26xXnmLR40DEcZWgkH6mhi47ci54V5V7BO9AJg
qtPiuowjNMd29h5q6B7bNuqjk4Z7QOIeowciEjRA1jR34KO6eOTScbgDF2VvR5vtRLQLc4XPzIeL
M2TrevETwKz3dLHauRn7X4eGuPIt3JaxwYbjjOWP3JrDfUOgfmNI9lNiePLI28DxerHv4VjqfphN
wTIeuZ9+R7LNwIaIf53ictJFg+ffVRgCVWPfQU8H4uHYSxv5UyH9o0mPPdH38s40Q4nz2X13kuAA
BfklLrjkiMj1rgPgOFddwOHDzyO8Fk4JHTson52MqwPDI7EORg4AJGLPprLA8MYYHHPm3+s+l++o
W499gzcIG/WXSfPXtjQ0dVPFc0fHuorHj+V/8RvWKxE2x67AZ0JFOWdVK7/3tP1S8E+jgS4yTTea
pfKQwGLZIK9XLOsEMLaAT5/pJPbXbVr+MCdufNPEPt7g2CTEoS6SeQanU3ZKJLQNvMBjM7tfGKzu
i45zucBaQz2R791X3EBWAg/nrhDy1gJVEQD93ARt+lLFA8h4K98Wun6OAnwZjTiS4zhOEBplGlG5
1V56Pl4Mxas934fumMF7L0r/MVXBIUg1mcP4MDvMWqj3DlOK1mrq0utEPFqVvB1GcT9hfV4xT3xR
A4e6zArLI+U/lCrn+PGGfP7p1OOT6zHon01OLnMc06pe1leNWq5Ji10WyC2n0VFf9zEvOyFIQcYR
AYgf1FiM8YTD5jySOGCW9sX96NRRu7xSEpbsmHwZ2fQRL/7cKuXnlxEO2uV3P/vGW2RCyG2Xy7Zo
SnEktm1hs+ChDH/ZffFDMACMqhTvO0Zg0DGMPywD8r7Tb2OkJxA1JlgJIv87Ty9H4bh8HhlPrukx
Gs+l5m5MqTLzg56fHP+yH6vxg5nERzWNH8TIbsKoB6Yff1ErJLjxx1+B4e9sKydRjpW5heSdYw2C
6ASugpkg1tnxg1DLtLYkTcDO2EYbWESHyefnGd10bEQCzcbXfKarW5FnetN11bPrzkfaK4LaudDA
eDWL7NFtgDQsyLOmLN6kBIgW9NU5VPn9LDiK+pZ44IbBqb8N9UYvru3AmaofA8ilO7cMjTejDHHC
ZdU7yaj+yTBFyyuMfFxPuMHjxRf+/7Lc/1yWsxi3/2NZ7vZjUkvMLf/4R0m35ev/JsyZv+HrdJZy
dt+FLRygff2uzBn2bx4ZM+q0MU94lLY4/KvfpTk8FEI4tG3bgecCJ0TP+12aW9rZJR4KG5ODi/fs
X0u6Le3r/6nMea7vof3h4ICmiEhn/32S0nYbOo8WFgfNJriWXEhIpbTGNyZIC8c8w52Zl+CNRRxP
O7uQNKxEfUF2u/sx0e5kA6M6O17yOdDiOyrqZjsDtGw7S2+laCD47yLRULH+/g8sEC1NFwK3xHDx
S8/8k9ciy8t5DDi8pO5Cn0iD+jmOOFo5meWdqzh2nxsanCgn6eibXTlDwDhLJC+N1ZurQMjqTA34
cY5Al7h28ko0ZNy6peNw7mqdHQw6Ig+zdYt9kqx4Yz7lQ9LTWj+RXVl5uPjsNa3C5Y4gyYIXcJLb
Nqvk1jFSttrCmO6i2qe9ohqO3NHpOI1MfeyzPsh3mr4oPAvwWWsqJWs5e3eUyFXgiQsT41n8XPVT
RMNXkewI0NH/LNRnPiDJpVZ0WyBqXPm+K25pBmt3Rda1h4mS+11pkgoOWxDbhVMpallN7zQw3wQW
THeJ7BntJmVe7ZxQ9VvWik8RVXf+QFJAGpm+GgitnDDcI2DElLOEQfdmx/RGoElFG0VD2X4uCvOm
Zt7FwHdKD5iJ+61NU8d2iCE8r0i3GFu7bfTBKGSyN7LwsUZbWs2yFfsc0jWNgmVz8A3vscFHTCCE
O1jClPOIRgKnmJH1xYhGtsGkYkf5NdZBBHhJ8DRvySs0D0232OQCv4keHBuxz5DsY34UHzK8pUDU
B3HKZpZomQa8/3hCyepP4n6eqndo78Q8qig6u+DwKNBNjPks+znmSh9zR2Tq3j0z+Y4ZSiUNogHQ
5wF9dDNMSXLqOZ5uAwrnuzp+y/GmUSRk3NYdGrJsSR+F2OGPSZQX1NhGMJtySmk9HI0bwA8L7GMi
iiCvUpMCnQGlnZoX3i8a7Q8wxx6bEG0C1MCzlg0EMlm229h0Q67TLZQrNxh3unaZbuUwF/gO5ElA
7JHaUi9yLIBeDA1oOj96LOyIqj6A+vskHUiqud62iwEUjFisaODMsC/6fvQ0lyRAh74AAIgv6y4y
MmcHTzja6ImMCbp3eJMA49jaNGpsBk3aRTkljb02hwabxwtLX4l+3lsT+kmm7pLO5WXZvvKfdF/f
mQWXAMtV0QbyensXQij6qWuAZMCniCKYIKsnIDy0FNg3VuxBMLOLmQtN6O6rNLF22g143+A44Dyf
iVZwTSgskrMKjtTFkNUGj1fKFS8nzdRTaKyqhLUKViKXF1zTGQYRHCVG8yYrbqEFnpudnsGBp5RK
3nsuaVKTGj/ci4Z9W+vah1Gi2tPk4zhKA+pIQImDiVri9E46J/veyh5hsiZXsp7HT4j1ZDWB79+V
Opb3ltvpx1/+pin0A1jBgQS3wTHXXKy8SNvvcFuIm9U4FKDBUtawWH9zGxNwJoDLkbblxMT8k8gi
Hl0dRxsrmzb0w2VbczTL13Csq4++LavDL9UwKtV0kosFeRZFzbds1E+5GJRbnMpmx23XZYDB846o
EhXpG/NpdZ45xrBMQsgOqdKoUTEzXNBInvKCpME0ZLFIO9rDVtORIkhrTiwVk2B7sVRj/ji4nNNW
crFbc/z4oT0M2MJyrurcqI/UvDBoVXAo3OA66h0D/aW4UouRu28Yqfd4uzGOM+pd7N6932H8Xizg
srO3/mIKT375w4melIu4eTEyzOPFLx85fKnsWS7mcqmGV8PLaJtOK+SmxYI+L2Z0bWX2F4Zb/e7j
VG8Xy7ppmOmNWLKV9WJojyoLw1hPaaPycLtnHPZOlCHBfoZeNG2dxRgfljYeeWYUNHcsxvmu4MIL
8dnbMM/J13PBCXgx2kPxGwFGcfYkrIUPP8GRT5rW3ik8+qpCZOxlZezIt6pPb7Hy9zMxHnex9xeL
0T+Z0YYZDZtXyWzY53Bg4fSLJtjWINvf+YxtW1IDDaPys1qCBD2cfshvhAsKwhK7qQ72JrmDIdJU
zljmyVoiCYZDOGFeYgrKJbCgYhtyom/yqP+6mdMAipi7ZByQtCTpc4IPic36lkymd4lGXl8yudma
+KlzxFA0rnvSE9FAjGLCS0WiIonskzRC/9S1WfLcmJ77Grkchw1LcAhdzNw4WgaS3Vw12iW2EbQJ
tjOOCuQXkmu6Z+gi/ZXzwK5iPTtL+CNl6rCel0BIheWHz5bV5LeNJi6XWMMNYTViv9RZr7lX6iOK
zDtTQI8DSPkj7JRxNJPZpB1Y8eUJnLfRDsIrT9rzPm1rcZuSNF85S+rBUrdzGhZbK0QSN/uspQZ0
cde11QCliQlGEqQYjAk9bBxt+dsJ8Xefl21GfqmGiVUEYtcIJT+JraznvHhydJ6yjybBaaI39Tkb
San3zDqwizmsNdFQUowRTTRKFoJMv0liK+wmhBubq2VKB6LvbJnM8RmzG+s0KSoqOXFBMxNgtz4T
MS2BFBR24MiUtgqgQCXsOWNaoutG7xPEVNba9uGl0otCUDrphgf84PoDPKq5d1WuD0BxuVwIfm3k
jddEHhHCcU1zqRxeEJ2TNWR4d+PzpLlNV2xgFVWbqO7Hjes6ycFJJxZmT/6Icwm6LRhXcEhyoqsl
zlVSmNQqDMzoIi6GPg0HcTh8guV5h40qzmTqbRJJAHOInAfP2iayTbalv0UjRmIItfNEuZx7GgiW
8oKN+g5iUrFO5ffUucYHB9yEMuLUKDZl6BSHtqia9Yjl76AxXCGye7dp6hj7Jq98Krtqis8McJRD
3Xz1eOm3qZfckG7ZA0wTG2YDzyCxwQIK7b62dZq/NL3/NUYhwKssfhgHpyeEJfDqwa0/moEDGK/h
jSIJLV1mvx1bJ+XLJ0AiI3HEUDPXtIl/FD1ZDXqAwiO5ygfhO0C9Jk/nL5xWGOkRpNS+XZ5m7CMd
w7+9DpgNZNrkb2dd7qIgPs7aeIp66g7qkSMMPDIkE/ONhoQHgsbeoYsjgxBQ89WR2D4E+dQB2VIa
LpFPGJqsgX2IqH86FZHJhDAfe0IMNhjFLBEH2jnmzdQTKrB7wIV23x999PUd9QFsZ3Pj4suHwAvy
lbaMPFDjcwGCdwvyCqpVtQwY7M76aFLV3akUyyhD4Z4RECFa3Lo7r0y+TCuqV61Kgu28WDXLkFOh
GQ3pRTqQu/KAfVLYeuENss8aQI2RrDiWPQaLZKrstD9r19fXWYYuUjGlgwfZJf2bA20IOhrNWSjR
CfUnkYfnERn5vuxTHrIu1fN7LWv3AWdAxxW7VpzfGWWoYIlzmYVz6gc9r520EretuRTwLkdDP8o7
Ck64ik9DRTgqbRrgB4IjZIj+/65rLW4BAV/3obwHdUkxeUpYpJm1ePGESw+j2T64FteLKOZkxH2c
WGzCGbOTw10piMSpLDJ3xOHnrZEr46lrOgevzPQf7J3XcuxIlmW/CGkOBxziNbSgCJJBcfkCIy/v
hdYaf9TfMT82y5k1VllT1W1dz92PlZVJEYxwHN9n77Up0Ao8mhNTKsl4u+absUMXJGY4wDxvInUj
Q/d9aqENi6y2VpQWvgOpmm5cCYOxaAAXhVR70vpkma/E0GlLMrw3R+YfdizT1Ywx+NnTTDx7jjMM
qS5Fhv1Aqb1jsLy2p/aO1HmFqy+4BONwU8BYATtYWVuBN5qujAdqDkhi+HV2HKtS3nkWMPm0rct9
ZiX8c3TJIM7nY2a5Ez/E8NuR0XwaAq/eNviqcBES1wZ9vU7HIaP8pFAkkPCBrCtuv1ubt/teKoQy
5hCGij7hsed0VXzThvRk15xyLF2WyPkAmCH2cURfnRTFiBcS/a1N6vgm71Gb7axHik00QHdy+/gm
JWy6sYzuwyyoJJOL1R5m4nd7o2J0ZRCaKAoJuHPOQ+3sTdn0+8rP770knk++ytx7zsLwWJtmijZO
t1LtYyf1eJzthGeoi5QTVpK8YSypWs6gAbUoL533MuaJmXIJ249eVGzmAOG0WDAog5ZKvkJONuDi
LSUuxDjnEcLBwlG+T5y6OhuRRH3EA3qphdFAPmIGMHvwEJlqT0B4zY/E7SUR+zI5Tinh2JCYPuNG
SBPUiEDah717IrIsDkudOPuqt/nD+mN3TFPXOAzFoo5GVgxbl00k/Keu2olJGRfR+rCMwdmsqsiT
N6Dwxu28DI27rvUn3qxQ5iWn10GpWd3ZFgVYTZwGWyzp9jEphvmS+k73M4wD93WByE5ai8dfQ6Kf
+qEWW4I/9gDaTWBOQ4aNfxMMIn430wEaGYnCQT1Th3cuG+LM3DJqKlInCmt4dRxcOFad1T/qvIXL
KYvxxcuNYtPbuDQ555hCg8T2fxhO3Txa7JEumcNnH8dutVNmf55UC9a+A1vgqRQGDtCO5aXpqOtj
ZnSvKKvtKQhzdZnt0XiK+G3hmSRLtmPqK4h8mLRfR0HFDno27eW1Tlg6ZVgG33GzOxFpiapaY+qI
92Nc+9/gwGRl4wtluYjbj71rK3eTX9LTyoED+EC8mQmt1Gg97Y+S+pQVpIN6Q/Kj5/s4QXAOQgd/
C4ngG0SY/GSGjnwZZvshj6zoCHAv3PetM1/8kKcE18KAeHTVx2yCqkRuKL4A6GAPnCNDPzg8Wdsg
xyzdh/NROVAHM5NM1Nbsw2yfwA0+S0xDn34QMG4axRzvwG98NyfMfD/fuy2jxWl3UZb61grGGzVY
8WxdTPiQ+dbzZks3PZYUXRuiavCtuOpiZ7XxoyXqnm7whxeXoDUR/42pSH/DIMjfhnrxjvQy4Xad
BJeE1D0NodHfJSJIA1y6Bs84uSzNUwpKPV75c288gABDPB15zO4Z0qeH/xUq/ztCpU79oAAC1HNY
4lnoYaiH/7lmifepCcuw+JuZMPqF6zfv/s9//NVU+C+/5J8ypvuHidaGiulYNpwty0VG/DPsJf8g
gQQAB6ESZBceQ7yrfxcx6VLAeoizkMuh9IhF/V3ERBZFDLWlbZFPEP+eiAlR/B9UwX/+ybXM+ZcE
lheP0CmLksS85WT7noK5HV4J58j6s3pMbFZiSiCXux5V6ZjkjkMso3UyNF849721xPWENR8yBRCa
nacLw6Dc5KehlCPraiw6YWGCnk7rnCRp5RxNEbVXuHz3Q2jWr0CKPscc9GoK+wjMZAloSggKEcyJ
i6NoxFvs96zpjGh8Grg1rsu+zo9hHIfUCub5A0Bya+NM7adpkNQUhXURjH9rmy3nodVfqCbbzo/t
8rFtaEJOcp3aGFKsHdOzQQG86JEap8ClRRL7csVRXVTkoMdmby1adJO5OLdRfd+Wjbr3wvyZ5659
/kaRGWqc1y4X0Vg2a78bwEMVVzNgHoAYlbAfYq0FUulezOOzLel6Yixq9/xJ30XVZZtoGHxabhp/
BSqEUzqVq9Sl59SqBeZ2ozUOgXKjXUvk79aK3PinY08QnfrKeI/NdPrhRg5gIBhR1t1QZR4pHWeZ
14bhQn4J+EmoHNBHIK3D9NkSVF6HgJFBftD1Czlhr/1zDmY8Wjm8GMYawieIL8D0+BY7LPLoD03R
EnKtfB2Cj7BAHhNLZoduNoYrPSI/p965+HlsXP10/ME17Wxl4X3l+0C4SfgcKT4YLr3qUDCS+tQM
87VqWDjzboNhwNDbBDxaZxMQ0wjmFOY5pqegxQjZ1XVyiKr4a2o988kJ8JdFPL5pLG/lnaLv9zwu
SBKzOb6MPjfXGU/Zj7EuwW6BwSFPNCV7jBzGL1uOryoo6/3Y/Tagju3TiA6KwmWZhHAqdjRxmE/Y
ZnnV8lF+KMEqflB6gh7D1D52EmWuVCxbS5RKCUNgpV1KF4eStTIjcqFisWU5UV56b8w+yMlbj1Bw
USF5GCHB0lDwukyLe/TQ3ckFVtT3ZWzNJW8DXlVIr4bVDC8dsMaVqfdwcdvEuzrqMc6EgqHcnKwj
U/G4Mgc2EXgso5HIXjiWD9I0w9sOyWNd+v3GUxO2N+w0cjvHqXlF48OdWHXA3kFS7Mc0Q7KPCpuS
x8a3hrfSK6bHCul4NYQWFhzrZ2eToO/cuthTpwH/jvuj3A0dP8XKWPz3CjIULUNGhJBQZkEUkg0N
jV9FMwXixqgodajmon6pSa8a9CyxK/bwvT5VcRjuSBWxWW8cwL/FYP4IEw+HfJxgYiT8naNxpq6j
Nq5XN90hpMTm0uQ4ouKiXiSZnny4BUTSXgXM/ZPtjdFemMVy5/bLdBBp7REyVClQCINKTux7KbdP
334fmZKDLW5m8Jvc75AW4dW6uQQpkERcx/EkBuEJl5dclWEZnyKr47gIaqIejAUTLKHFZkBpI3u/
qCG4CXwN8ioRlKFEOTtdk8PSlGpTNdpuv3bFgMOmlxp+hwq6imGhIMfwt76BGjEdu2wYHp1wrO4k
AanbsQ2plUN0pzSlk28+mi/onroFMWCLmgU5DxEy/26DCcXOT6W1JGe7EOPJpjyicid5OwByxgEW
/PL85YPQhDrXofmaesVniaV624/BB1l//AQKfwISN12mk/idkz1bQ/t5cZr8pQzhxZvDRRTt3nY4
rmYsTPiwV8vcUgPs8SlFd+OemLOR78tT1NLFrOiMFxEOlRBbaD6Zxarp6TO3sDhu2mJ6YHlDkhTb
X+Y4ZCLL9J1UL7kU4Wdgl9DHkWQiHB/ianKQoraSaMSYoDzoPzbhOJNPlhVED4qud1VIjM4KJ1hG
58iY1eNGjtMzRlDaVULGcHcZ09sRwvirnU4vEWSGDeC05Tr1sBvKuviJyGDtKYB6DDBJYLSbskPo
IVAIYZSH0W6ocKxQv1UmXVbRUbMbMNbx6RyjjZmw5sFnx6Bpt8SQlOOBc0VG3AoTl42NVB10VYMf
FxVkJM6995EZmzmcjmJugL+LARLEmGHJ/1MOtrAReclknGs1c/TPvLRpbo/XJgXqlKnFPxRS8rV4
3cLnykc2oqthJaoLIMDimPSet+OttHIbE5eiqVauhAywClvfPMixMHZuNfhnIcP7wVuaQ2dzCFGv
CS+H3VVhRgC3PTPY5oq/fK2MGXtw7v7u6uScYVJHCCILGdJG47lDx0ze/QoyhxI1LJxryPdXt3CX
A2sZpNmiwt2I3xOW8FFiY1oVkLBHOOp4KjBu1GFmrUqJSw3LyHNq8SyuS/55a1XYIlWW7/NY4Oyk
xRbPOj9cZobTxrILLJ1atbTbhoOhJHu2clq4im3zI/Spb0fta3eFPfLdfezRfkkWAjI1FKQumm+W
DHtEOKbdT5srI+o1yhdp5RR2SxwHNxpoAoLdyOs98h/7TaAxjwvGGO5RIdCHiKt9X04T2Uisr2Xs
bZqxi84QTE6CFNiV7BUrrnzYsZ4Ij7AX7vzO439kJCcRY/e9hX5ZdOV+qrPovs8q+83lsXyyebIe
66GihEZycxHWVK2dMV907vgeSGL1lRWYjSKR/S49N7nzwWbyJu9BvvTB/ODWWOHEyD2as2OmwCLF
Ca6M4jhFS7i2hDx7GONWDp27XMcK3ohQqtntlP0hRpbYwMckl2kF+WZpFkSuIt/OKul+g+T09v1M
7JmWOeKLtI2V5UcLF4Z4t63erFLNe4BbkuQHzwjV8Xcpu+g+nFp73VaO+KzH8GflmtjuvPkBrvlL
aPPB59q88yT1aVjznmODpWivIFB7zWhhrVaPICw6DGq1htZwXs7SvYD1e4N3Wt9Rv1Cuc0/n5ATk
mrl1HvIO+Ccw/i/pifjG8Ie7WhrxvlClyXN0zH7kc5R9CV0zwOqvQJKtx18Cc/5oNK9GGt8bTpft
GK6hgeXlHejOuz512z2FA+iOFGZswrmvGcMYT5P2tXDLF6oqMJNXPzPAeaRG3PvUc6Z3ycQG0Rnr
mPxoNPQ/tCSLye/OjOWNTQ9edKe8KYql2YooZR/MMF1qXy/5N4w1g3II/7vxDUrwlyNF9Fiz2D0R
dP2kA1YeDD6Lq8mnsmt0ensr+yq8z2RwKzz/ffbSN+wM0aWTCAq2xD4W0IFM5dGAKUbswuqJUuVw
XMf+MD7arsmUvWTvkmSyZm8RPfZpKvdC+3EJLTBWEEV9eLB3dTIUW1voT+EccSSXtbt1BwOF2Qo8
8Wg7LQbBRr0r5vYVPfPzL/Z2JjldeCUCe9loaP2hLZfbdqAANQqES8yBdhDOIPd5YiK75lW4K1gu
2Lr8xRzMY9bQH5x7BD0yTl97FbVJ8BYjauyUBQF3CqMP1ZAsTojLr4Kx0C3Vvk8dQcR4HWX2b5l2
2bEwLPHAR+yrBIVLsxriVNfb/sXkAN3lAZ+WxXP2ynRgvua6mMAQLu73tL8YOBKRZZP5zsFHS3dB
Ce0gmCJ8uYwkPA8WzI8S6h+8vEfGsAJH2JTcfOdjnKEQN7Q92XicA7D17NgMmFFzd097WQgbAakU
2QtDVorG+929Y6I+nrwp6e/ntLBZjXjYCGLakbzZbKgkR3KhAm7Cnm5mTEhhLg4jOIw3n9qRncCd
cWrdpd+HAd4qzsLldobffw/Q13+aHMg0cGroVmqcHLcnJgPMqnRLOhwwk3cWsWcfwNWUazt3xw0x
Wv8SCa98JFGVHNijYnbPa/QWGzQvU7fjSPapuY2B3mtv88wwP20aJ7aixcge47x9akuMZWU/zDj8
h9S990oU7NaIyuMSMzA7SohrwHtNULmTL5d+0O7ZIGaS93idqYjuRAahsqnubMnOxqOrDXubCedr
xRaOszLv5e2sou4qoyXZU+JBXqDnlZgXREQi/EJhG6+aG0FJtdfI8V6b4vlFogvNJUAIEWK2+YgO
LFuuLjn37mtf1uWNR3CXN5KzPHKnBFHJW3Ib2zjfbezo+B+s+AyF2n4T1uy91bFZ/gw4zqnv1eZK
F/96albjr7J16wsRveHqxEF7xV/o0XogcTAzXT9GOhQmuebsKh0Umy3t3eUyy8KgNo6QbNtLjy85
WY/GIB9sS9osGYzlDeagOHYJvpVaw7E7/msqpO3gy1f4At0KJ0mZdd7e6mlHi2HOXit9M/c1e5VC
JGqhvXQ+yQoyq9SM1nLkDWBqbiuk1/IyaJZrN5EFIatV3VHC6x5aDILXEmf9vtVs2BmOwg8wA+0L
J/C4lQGVL9D3YMqijEFKo8P7XvSE86lor14rtwOKTHjpFKJH7haNrK1AGq2T2CezBs/WbPG8i7Gs
tkA0dJ4A7G1v6b2PnCC68ait8eIHL5PhcYmAmAsMItjNLm5AAU3Xs0O8zhqwy/fbDAhslMrJ90FD
eAmdeGcawr6oDQgOQMg4WUD2GnH2ZrdGepNpnC9QTsCVA+xsRLUAD0fXgf61NQS4hAbsQAUGLzfe
kk4iyKSRwYWGB0MvJALgqGuiwcJ8wtvPSMOGe5e/aaYBxHXEaUEBSMzHYbYeLQ0qBjFCLi6IUE79
nh4S8hjT7z6DmZVP4obAzVaKsObYbz5KDULG3wUTmUJu637RoOQY8RmltAOfnE62vKVppNtmSYlL
AwONYEsy9IcK9w0hzXFrffOYCWLNH56GNOtSsh3i6xEnQ//JCqm4HSegzrPGOxN5QWv3c2o6po5v
UpuJ8aujPm/dSt+iDhBMNCZwfF0aHU1dzesUVU8pTGniIf6hjgfzxu2ZaUvgzPtKQ6gzHyQFPv1x
l2tEdTyZ2cn/xlYDkbmNNco6iezqZtB4ayi77snljnvFdG7su2JKjuyXFnfNLR791sZCmrJ37peK
FyuwP21YYatcuZCAjKkt1pEd+sBzzH7d9P5AWnBqq09cu+NLI+fwpUhoVXAmW1DGabwDRkqPfh2W
+yXAHFpNeiVuF+zUHBxKI9VIq8bCTvv9nuwcaF9jC3I2cPMnT0nSnnEd8fe36B4mLtbvUQO6Xc8u
av3tWEjxEj2VC52BaQZLcuz96QDo86kw2mKvMl8HSycHlBpInBWX1HRPzY9xl/bejAokaX6gqvS4
REFz8PocMlieVftqsL09RjBKqNKB+dwxSKLQerRbavVRSlcnySB53HpG/KPL2vmGqk3Skz2aA/Y9
cZMzP7KjMB5y6KFPCifHGqdPcVJpMOwJDC+7uo6XleNn7VlgDSYB37S/oeCh7ffBr0ZiDeZa3m5b
fyAU2+XNG/jclj4hOWgMdL0GWU+zHJGk9TJX476zAX5M/BJ7AijhplFteOdw2z7WSffetvGVTcq8
t8cZHSxdcBsPfUfdDuYHmWI+ENJ0P0DT+YdJ2vz6hoVDri4/gixqzqHb7NsAJ1QJ4rQtc/FO23F+
ZpnIpqUo8cnj0ToQEnVXTUTdEhsxvHV0p8HVaMmAKUCdbty0r4MXF7Q31vW+wUy5SiA7rRbTIxBk
vaSB/6xfeeZG6u4D/06yXlnzfYJTwFS6rZqUUuUqVcVnQqMOBzHaBcYrauBqE7xuP7BXSj3SBzV8
kjtLcSLwsi3HiYpEjvf0TO0Rq+u03aKyqaPD++kKYvNvDR7/Vp3G/0T0mnbcCtNS+G4d/BKe+q91
+zvQJx/FV/wP6f9/+TX+FOrNPzxha80dDqxvOUKXlP8p1BvmH74Skji/AwUA37H1dyybEn8I/n0k
/D/FeMl/9f+UekgA0Ng0WcC1wL15/xaWjd/w/xfqpe2jhTmmo9gkWDZbi78K9fwYkYVflbD3aGID
mn0CKaMmxrYhIJbomyL7DZSNQMvGmOKxeHYZMeTirhvgz5aAaOmQgOENmrZkH+92mACEZ753SEMk
RuLykYhWyzni1VdZ5sdK026hA3xapYPaoEm4Em/nkTsaD/jBYOjxaoQ4zc6dgejWujZqHlgVt6w5
Cao51p2rqbsL+F2lB6BEZOE6a5aXzkeV6jWtl77R5hyTGNVrdCbfzJYPI8R/Tfml8d1hO24KWPow
gNPW8naRlS87a1IvDJNALRegwT7pkm1bky4JFUTh/BsuHKhGYRmEOFyCHs41g3jWNGIHLHGq8L4I
mWPmgVhcxIrFJDPkwNbXSZ2D1HRjwe1aS/vj4xwyYzDLNroLPrsGmoyc5wD0Obb6s1KNgzFJjPs5
aW9NzVReNF05j2zKHgtI5bXNv8v39q6L5jEvmszs19QzLLVFgZnmNnMI0fnetTYHTgjXGeYCPOGq
sfboglwkNf+5MYGFwo3ZN63EQhFgMGWUGA8dhoOdrdi8tKbZX5CXcZp3EKZNxzc+B02dtjV/eurM
8j7RTGpO+5PlNfyBNa86ILVxwEtafcyFCDZ1YKCWacJ1WuMmpOeWOc5325OjXOe1Bey0T2fB9DSE
W8da4Gd3irePrVOpaAzOwQCs7WvCdkuy7JpUeXeoNH8bSyS3/hJsdzpgoah13i0YSn5Y142fTWfk
6Ts0eHfIo02rZgIc7IjlGWZHCN6Bo7krRjms2BBXsCu4PNlRbh28gl1Q4BXsqWbB6r30kNEmCszO
4H/D28Vw2WvnavxS1hRufSMQh6IDkYNMKTb01uZkYzJrG2N5WZulK25THSoEHIov2klzFsfusAsj
0z4sLXqyE8K7rn30dumWzdYDd7AqLbJZODNjRo2k2Xdz6K7cviOBmLC74K9PvLNPf6qRFc9io80L
EeanwjDmz7htP2cLWoWfdO1Twv5nzc2n3piGA0V9npGiaLfcsSpCfaWDYN0UrnXLZSr/PfmQxbJC
mes4R+nCZeNsuHMGa62Qb8qGYopd2DGvcH97SFVWHYmVQWmYsc7MY4pbNjFx9hXh9KIjxFGL565C
lT7lSrVckYmUcRAlW7KGVMeAEli5sw+kGy/plUREsg8cBl+v1Z6QgqtEuzhcsZaPNrG9WwA5oOHo
LUEIkRupr8Ih8yqvFcUp6yD0ml8t2SVcQkQA8DJcfN+wfnLLi7ZREbR3DYSR0zCh1Utehdummesb
+pAwQ7upebKEGF4jR4KEwFaZ5Uz2QUkI1+vQcGPYU73eI04l2Kwhwm84k27fVIYqDwCfoNtPqXlo
OwYF27SWGyeUyM6i7O9k5DfnKMNo1kMv5i8R2lCPVcOKpVIDKfGZj/caO5i2UBPQWtXsV1bOIqeH
jtqBO86u9OxaFTkncGEPkbOUJ6s1Htk/1hcxNVwmcZ/9ziBQ1uuIXqDnoDIxZ1XoXZS0ujPGPPwb
dGtPG6M2g/smA5hWAh80NzGIqn1RednJoGJvbYRivs1L1Pc5WrynYBrbjzSc9ZLAOLKkCFjiZAiP
uWtzKzVbj3mF9wL5MOvFirPggVQpLwC5zekBAyX8Ag9daOum3rgTMppuk0TRztnxNN5k9sJGIm79
+KthwTvuuASYR8hPAzeDpdin7lKf/Xr2N4ZTypvGYhMMnT4EY16QtvINXzw6iAjHATzFBjNbS5Nu
lxBk5xzzW1TbnvUkYfVDG0W/MYNkq8ps5j3Y5XPBa/U7yQQWkHquf+C9wu+nMN8VSVDf+PTUr7KA
JUUkBSMkFsltsVAWPSWKY9+NrsVQP0096JZVjgJxl7Cv2aYLawsWHZF1aSO/hLlWX/n0oibHVfOL
HEyyAxHYbqbYdGHRZcsFpIdNSXnWpT+jxcSNm/VGSlCeWAIIS139nNt4e2wG3RffJfi7tqTg/ytC
+TyhAT0sjTO9dbMZJAcVpy6xZA7Y1RzYNAlljXWOu9Dcu00oNfgsZMAdKBqHSCaWwEK9KtAhMsPu
o81sGmpvzwkiBkZqcw/tG6OOj7pEYbsz8ECnf6F4dUSeP0/ubL9gCs2/QJH5z8It2cFK+HvsZwLO
88UkpdvJ+ZWdmHWyCgJ0GXTTS6ziZmN1Je2+CPg5KHJQdilrdt/fKZ4sLAUNp3hl1axOfWRVJ5vi
o0MdVTz0klkRj/C5NNhpudzXYLm2FWDBOHeS69QJ7lCsZT4kDj4kAo8HqYsqnIvounATPZdVLW6t
DoTbUizp7zZMly+LtQUu0j4HmF0b4U0oR3qJ5rDb0lAFLi6gwZek5diJa8vmwQeFOubUJSC7HRbK
fU8iI/EaE5ckqlUWHRXOAe9ojLd+9xjBpcTZ1hve1o5tmhrogIdnp7pzUsp5DyOdrvR5UPz588VP
n+jRRiRGrOKWzs16OXls+37XxDlu+qzglG6Qj37Ok4x+BG1kMnfE0WuzCIfkf5EYrJzy4B0VHz6s
TXskgXujn/d+k/r3dGQBk557h2xtauRbQ3kFoVqfdcpmKA0gToJhjQ21KH6ZNNUchdU4Da6x1I3W
bI0Lnqm0YD27XQW1QPmTMfOCpZgsXWMxYp4pVY81gp4E8Ju27TIvTFX0yuHdwovkAk5nwRQe0VHV
OXfyF3fmVOfTSkICrx2QyMg6FFaijhnL/7aQHH+c3qR+6cWtSpzmKBvxxq1xjK8Elr4NsYhnRpiz
Mtnl0gNj48aYMAsuc71njwFQyh3BIBH/pbKCpu8+VdMBVucLBXMEF+r+KyXQwp7I6veNYhe1yBkB
Fg7f0LBhyuiSvOPXLpAzFI5fI3rmqh++xEMWn7xsMO57ruS7JTJv22iJrzmNVefGIc4j4iAFYsXH
NEnHdmUDNV8Jo5WfcQrgtO9zzh9KBBRe3nzE1NsNXGD5YrzinXHL2tn8QMSzNrFB8jeoiUZUTWs+
D7XLBm9k4KiiJn61M5qcVhx8wU71kXPgQ6IrFsN7lXnLpqtndVAm51TawN/NtEGZTxRsAHhWhyJg
YAqBD4DcNZmGFscRlLgWX70LERwqpMLSaF6L1HrD4X4EVkRpNpHXlWFHL2ONRTKWxU7UGNUWA52c
0jTs1TXhKhfD9ThBOzGC6ctJ/OwVKEnU0EE0Pklt1Wa57dBMTGCmNNXoawvLtFL9ZJ2QLNVWfnu+
WR2yKtZG8FJbwhVDGaXy2MS5LTxJCPCbXMOMcyOeXybtKp8VqAxuzC+Nit3N0NX7JCtek4AueC8t
Sx2K7+6ps4n2jbasD3OAalS6FxzyxnrUxvZaW9w5/vNDrW3v8IdxwE/aDD+0vxoC7cSQRPXQAdmk
2eqjz/JL53KmJwVVhFIb6seEdw1eq/7SS+z2wTT5L2lfFWuKvY1bAlwdn3zQrJDgRwhcJZZ9qehk
ADdRhnW8dcV8wMzy1CQYUU3BsipU8z15sZ+4v4CRFRpTgdmSZi7QBb1pmJtwCW8SnSFodJpg0rmC
ioBB6OGJNXTmYCB8EIaph4TUDYeJ7dp+so3hwyvU+AQGIX8KSoIRvs4yVDrVsERYhUeddEiIPIQZ
NgJbpyAinYeIedE/CV0RB6/x0hxMghPDd4SCtBTIxe9ghf8dsghynhgBevfG0hkMusj5BXUuo/uO
aIgaI/ekcxugI/yT1FmOmVDHPE7ryiHl0em8hz0u/k2qMyC6mG4vdS4EVi1OJx0VSXRqhHkc64dO
kqTfoZKpD37MOmdiETjRUaJYJ1DIazkXMwtwq+h8SqGTKhxptJTq9AqGGQRvq/jp6x2xjOz3SWdd
Cp16URViX2SO95VOxLg6G/O/Nsn/pk2Sa51nmSb+BZegtVY9/nOb5OGj56/wL5GLeAz/+Sv9KbrY
f0jYi0Q2fEu42urI9/hTdIFpj2yidRVHSFdJB1/i39yRyvyD3afruPTYYjnXwspfNBcil/pLYhPU
XEf736Ev8lv+k+byjy8B6s5fNRfWBFjnhY0liIqMY+vNdDNGxoOgz309DmN2IQ0NxGqW0FNAKk+T
GKiBJokWAtHbOyoe3ybDGBks3eaUsp2EmZJY65ECepYusHXK+NVp8Uw4uKNYpzMa2olR7Tha07tQ
9G/OgN/PB7P+wyfGs4Xk0b4gd7oHEgjtR90nlxpMt0xG9pYGeKW0yahfspJ8Hwl109sZWVPFhrsb
x/qj4GpSrueoeWY1iMmSmq590PtkND3/avXeexxgoJP0SZNYKw3/wUoS8wvMDJpvOkgeo2iqI3GJ
W+kzhtYSq1Ulfztp0GzshmU6sErd5EcSnJ/qB2cmu8/qJTCW9Nmb8MYTK+F+WkDv9ewIHdUfFkBq
nuc/YThKbulK8854KHrUp4ma9W9vHldVxGQnwWdRI0PAuA6cW/plySumRcWyNW/EjUW2fV3XmFYo
61nUGqNefL/kXvXFA/eLdqbsNehDHphtUn5id+pe2Dck0zr0yuVSWjK5L5DBt+z6XCrBhwLavpXy
5Kl69r7LyG8FUhOXuCrZ8/I7wWFDx5gaq7tbqKE/UOjjUjDEsJ6zMwIiXOKcKOe4PrQqJoXGPexe
mnV9NQa7OH13p8lpCO/Z6jsnZxz9TeiY2NHg5jt3oanaR8+2lgOK6BbA3mfgAeRz4jz+NXu8dcoh
u+aJIU4IJz7YRxsxa+6jHexjUk7a2C+XkM7C4p32jweII/4n9lrGmhieAX97+Rr4ZnZ0liW/LTv3
hhePjHOxyDs7AGrpU26w4/rXHIbO44vVvbq1w4osb9TQJRXigCXkWHabWjjVNlq65kdqmM1lNKup
BVxSdIdi9t/LnCA65exU6AEK/HK8hni/49gfmY2xyUlEcqptw76FmmxdlBv0pG2G6c3WAxvEQq6t
PLlPlmlXaI9GZB7TDu9UsNj1Wxc300NJnv+ujtnmAa0pV31vWE8+NQgIAWD5G3swP+lJyjfC6Ppm
r4ox5RKbTsNjb+ImXKctCxilUnvDo49rmeNlD/mYyPuEDTRheZu7KRucr3HEuO/buYRoVI7YAmVh
nK2ih7hj9NV+yjBjbDHx1WxsbZuPGuQFNm7GNBEcpRfCeq6TwrlYVOxNm6BU065eOv+1Yx/6Ylht
devmQv3C/9+TMgrq+qGtsuTFWkZi9gws/YND3PI4GLMiYWZ2v4N60ktp03oraXs9hYX6YgdanOzZ
b9cGUMmr74ZPvATxTeQXryPKHm08dXEYWB2uC3Pmc9XM5XYsan899FjupoFqoSj1T2WohsMAqmuf
Aoz/VeGSSALTXwvFIGY13b7MRHtqgf7ctFSHgAE3rPsiNeLzUEPnMrAu7JKetY+fCLGhpS5cTVVC
8ULfSWK3AEntsiuOOZLtNFfRBpHowQ1l/RgKUkhWXo63E83wHJ7AHFbjVLe/VBZTA03+8dOvm+TU
+P20awe9J4eUGJ29JQRiY8TLLhqm5BUnd3PjtUVwbpayPOhk9yGnw+wNL0u9QWdy7mCwsgvms73i
Pjav2l4OOz+T/obbGvlUEd7mZutunMwo6lXF3b9LHX9nZQ2OUMkArWq2iaJ1qPxcomSDiRQ4hZeR
fO6mntIoy/YOfQVoP2o9b8+IMiSnPpYmQ8potTuODPeg4P8dZnC/wQVz9cCgq+pTZupW3JQLbU8F
89pyIpSxTjLLOnBCfPM+Ycg+J2mQUgct0h3S+Mg56vqpCTEymhW/QZ+nDHmVexVGrqqN8Il80WeM
aXTVt0uyMZ35tSmxOG+waXdr1zKWDcdKJ1fF/+XuXJbTVhIw/CqpbGalKgndqyapigFjG9uxSWLH
2agIyJIASaiRQNITzezPG+TF5msMDpyAncRTTvlskiIoalrd6svf/4Ww0g8MRodjuHnt+Yw4EF45
0anzfPTZzuYG22OqFysg/1VOxlBgGCNwgMX4uCBRqSoL7ShNHO+95mFBjPDGuU4qU/+8yMbjL242
U0+LhisuMD7RD1j90hMqggyx3ozPw5oU8APsq8wPLN/Scy8pjG5YGdPWKGHZWNnOuAdrUrnAyCj6
ZJDBBr84gJKnTEZmV6kzewhOcDgPgGxLhtcj/A+RkpuR5x1OiLvqCI2N0VwrBao2l62JGGtGq/bo
nSlHdMcBBoInuXGtVOQrNMgCbVZxrh1aI40tbq2JZorNY7teVHbXc9X4IykKLom8YSFucDWOWzGI
DpAQU9AgbNj658yeJ5dBdiMk6sfOoqflTnpSSkTQktggwuNxdybxQlMih1Eyrw8UMk5DdjMgi8kS
ZLSXgGO2BB81iUNyNoyOWGKTmkQp0UgX5wsd/sFsqpanqg47PZe4ZhDHaZMJJj1CSIbAcQmAmhIL
LSUqWkh8NJFIqZv2xhI5jSSGquXaEd4x8+ssctQTU5Nqf7Sep5pEXxcShwXVJ8lXYrOFaYZtXmtj
YEbJRSIRXCGx3LiYCT+FatRcjNHXHSwJUAnwbyVxYJM4obamNYxu3VhAlZhDSZOwcQCz6xCClEkm
azHqlBJeTqa61zY9iMgTCT5HBO60pq7X1SSk4bEbP88VyznRUjFqgs/26CflVaNm7WKNq+SzkBC3
l2JJzLqT2K5ifqlgodsMUnjNh1AFVQT8rTApUcRK1DyU+HlYq1rTHS3idibR9Uzi7LllEQ0hsfdM
ovBBkDvMJiDzmsToI4nWOxK3tybwM0OgfDKOq6+aRPdVifNbEvEvgf7LIDurrMapij6uqQs4daXu
WCi7nKyTEd8OdwwKNqN15JS3BK0K3iB9gBDjS0hGm5JCBK2lO6I6dT9a0i+xUick/aUItANzMjRC
jQ0xhIxubaG8qBeYLStuKU5I8FaByjBpJO7wayMd+dg7MkK69plIUG3PPbXHzTlRLIJWAal8Irxb
nM0JKgLFoeqSV5s18G8BEGAsR3bsqeaka3sl5pLSZjKsQUJxjcwHmPFxYIiZX0reBRKqMPF1aVdZ
pChaRw7MpEQBRXNZGR9Hcw4FRjSNyNyD3GTHzgRSfskEABCpIeSiugQBA3Xepphpekznbo675lQo
rSywhh5mePgY45ogcOQkCwTZPusH3Pzw7Ezi9MQQttXOg6K6ijzUjVAco8OqdESrnkIrsXEFDUBX
Ma52T2EEMCEXBuB9FfVQkPgGo0KnsInrEcYNoocptn9d3WnAyk2T4wV74gPbxqeUo6RZ24Ct1ANY
WpwKs8rZuxO62mA/jYwiRhgYkCuFEdxRzXtxSMSi3jKxljjLpW9qI5zZR/E0uarSXL+NpMUqp1+c
uJVmdzpLteN4jsqBA3GnFaSQqabSptUZKTd5BX0NMw71kyJU+zC01Rug3TZLyzNrWlxPvOw8cVCU
I9IGxJbWsPIlMRf6/EIdkXWLlaYH+hjiz6frp1kNgCyMSO1p0n3WqRCrVOm0Ow/qxVFleWpH1CHg
JWnCdVGjgaJLmHHySUSVjASSprfUetReLFiBjkL9siEaEKIqCL3QzhAgLTBEt8oLO1bIn5oy5TnZ
JcS/r6mn4KIDaQXicsAQGBt1s6g19zrilIRjDS8/pUE59orQzNicvdkjWjBU7VZRzWRIB26Wpv6e
sIWU9Mq0q5jaR0tLO8yrDARmVHZDJ5/3tMY8Z0oNznNm+Q7gY/opDCYfKm0cHY3UMgJAddMTxLn4
BSTwjh0idZp4WCG/denaRhhiKogNMmqroS59keN8UR85dhg3TWyKmiMbKqzIDeNjFGKhZ7sefoN4
LyeZxTGvgO465zDxpJaezVmG3GlqQgKtZllNTvfS6RmsEmP/qdUPHGZ0UoN4Z/GKdjQdZNoy/cpE
eaLgcn2glZP6LDXgrmmz3DxbZBDrphiKkGGKKibDuuRgScly0YsdN/CCvQ0Sq+6Smz3uxLV2/M9C
RlaMmlY/77eXiMdl4Yuq58+KST5bJ+RxzjYZLr+O/NmvXLD/Bq/8ZWnHwzevMYXbuk5GW9wVfXeN
/Py2P4yjpBXN4N8N8n/LX73x5fJz4KfL37n676uK/fjTt8paV2r9j0eRL/piEFbLL6rVrzzvx/6b
14jW87yfVJuiVgMkZf1ZFvzm9dYP3QCDHrrzhUjnPhkcyrsJVVea3/7K/VfDf72rC7G+uXxQBuIr
CC/fK/57pTW5gfCVq/5E2gyeInTbov8gtgVVkpGATy6IjMdo0F/fSFZhdXMQrKfe/KfSS/ZjePcg
3YPt8nNWjE8sZUXC2upXuzlYTy6omPsTQl/eZUWU96Nkq90p0gJoNFzLRBoJZqiCJj61lX4Z8Xxi
FX9fiP7EgjuE6AxftWf5+pnJ3g6oi6tLA+W6/NOEjAcf7amP9P1gQOMl25w9oGfc3RyOHfGLl6iv
839ovHd0FyFF/b3w21/8tRyd1hVY1o9STcfQsNJlKe5qgMnrr/cNhruG5bdb43dbtsT2PPPoBfcz
1UVf8Hx33OLxK9ZTwI5brNpsYwBjdLwfQZalbU8VDwyx+x4MMxoz2Ebh6zvKUqVvKuWtHt7GRX9/
Tj/c5acv+KGO2iN13OdT+yIqiOvtwy3YLkQ6vR8f7+o0gPjAoJnwjt83/kZbbDaY7qoyher52ux7
gXddYEen3H41p5N+4t/V5Jm61c4J5v5B7vjB52ilds9XL6CPMfbrpEAbGqxoTuYswnyesz+sRoy9
nWE79G3dvwtWhiz+gyhNHu/jco1w9xY9UwdCZ4I1zN1rtbdiV5GffF/Y7Ogom8Panrd3X099vnoa
iAE3WmDHy3HlJ8Nv//3bCLW1+fiJit4tx1cj/bPVTq4vN8/Jd9TuFKWZnyudvkhffmsSGP1Yay53
Yfdrx9/rtd83bs837QBJ2hhFPdxVj5Mh+02ac2uv+aIqySHFI++j3Omwqf4njD42Z5XQRR6amjsR
L+bwiaPPHx9mbUsz7mblvdNJyy9K5cO3/8wh228voH51rP3jtXVgGD3SrM1wuX/ylbM+YFcUv/QG
Zl+qPvLerqv8pxr3sVmXjau8ZDDx++Lt/wAAAP//</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7.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11.emf"/><Relationship Id="rId5" Type="http://schemas.openxmlformats.org/officeDocument/2006/relationships/image" Target="../media/image6.emf"/><Relationship Id="rId4" Type="http://schemas.openxmlformats.org/officeDocument/2006/relationships/image" Target="../media/image7.emf"/><Relationship Id="rId9"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oneCell">
    <xdr:from>
      <xdr:col>4</xdr:col>
      <xdr:colOff>175260</xdr:colOff>
      <xdr:row>7</xdr:row>
      <xdr:rowOff>76200</xdr:rowOff>
    </xdr:from>
    <xdr:to>
      <xdr:col>6</xdr:col>
      <xdr:colOff>514350</xdr:colOff>
      <xdr:row>20</xdr:row>
      <xdr:rowOff>80010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45180" y="1356360"/>
          <a:ext cx="1924050" cy="2381250"/>
        </a:xfrm>
        <a:prstGeom prst="rect">
          <a:avLst/>
        </a:prstGeom>
      </xdr:spPr>
    </xdr:pic>
    <xdr:clientData/>
  </xdr:twoCellAnchor>
  <xdr:twoCellAnchor editAs="oneCell">
    <xdr:from>
      <xdr:col>10</xdr:col>
      <xdr:colOff>670560</xdr:colOff>
      <xdr:row>8</xdr:row>
      <xdr:rowOff>5334</xdr:rowOff>
    </xdr:from>
    <xdr:to>
      <xdr:col>13</xdr:col>
      <xdr:colOff>457200</xdr:colOff>
      <xdr:row>19</xdr:row>
      <xdr:rowOff>49530</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5810" y="1538859"/>
          <a:ext cx="2101215" cy="213969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228600</xdr:colOff>
          <xdr:row>7</xdr:row>
          <xdr:rowOff>114300</xdr:rowOff>
        </xdr:from>
        <xdr:to>
          <xdr:col>10</xdr:col>
          <xdr:colOff>182880</xdr:colOff>
          <xdr:row>10</xdr:row>
          <xdr:rowOff>144780</xdr:rowOff>
        </xdr:to>
        <xdr:sp macro="" textlink="">
          <xdr:nvSpPr>
            <xdr:cNvPr id="1025" name="RepJoueur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228600</xdr:colOff>
          <xdr:row>11</xdr:row>
          <xdr:rowOff>121920</xdr:rowOff>
        </xdr:from>
        <xdr:to>
          <xdr:col>10</xdr:col>
          <xdr:colOff>182880</xdr:colOff>
          <xdr:row>14</xdr:row>
          <xdr:rowOff>137160</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15</xdr:row>
          <xdr:rowOff>152400</xdr:rowOff>
        </xdr:from>
        <xdr:to>
          <xdr:col>10</xdr:col>
          <xdr:colOff>175260</xdr:colOff>
          <xdr:row>19</xdr:row>
          <xdr:rowOff>0</xdr:rowOff>
        </xdr:to>
        <xdr:sp macro="" textlink="">
          <xdr:nvSpPr>
            <xdr:cNvPr id="1027" name="CommandButton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114300</xdr:colOff>
          <xdr:row>5</xdr:row>
          <xdr:rowOff>121920</xdr:rowOff>
        </xdr:from>
        <xdr:to>
          <xdr:col>7</xdr:col>
          <xdr:colOff>7620</xdr:colOff>
          <xdr:row>5</xdr:row>
          <xdr:rowOff>480060</xdr:rowOff>
        </xdr:to>
        <xdr:sp macro="" textlink="">
          <xdr:nvSpPr>
            <xdr:cNvPr id="6146" name="LSTCateg"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1516380</xdr:colOff>
          <xdr:row>9</xdr:row>
          <xdr:rowOff>38100</xdr:rowOff>
        </xdr:from>
        <xdr:to>
          <xdr:col>4</xdr:col>
          <xdr:colOff>373380</xdr:colOff>
          <xdr:row>9</xdr:row>
          <xdr:rowOff>297180</xdr:rowOff>
        </xdr:to>
        <xdr:sp macro="" textlink="">
          <xdr:nvSpPr>
            <xdr:cNvPr id="6147" name="LSTJ1"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xdr:row>
          <xdr:rowOff>76200</xdr:rowOff>
        </xdr:from>
        <xdr:to>
          <xdr:col>9</xdr:col>
          <xdr:colOff>792480</xdr:colOff>
          <xdr:row>9</xdr:row>
          <xdr:rowOff>312420</xdr:rowOff>
        </xdr:to>
        <xdr:sp macro="" textlink="">
          <xdr:nvSpPr>
            <xdr:cNvPr id="6148" name="LSTJ2"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335280</xdr:colOff>
          <xdr:row>6</xdr:row>
          <xdr:rowOff>114300</xdr:rowOff>
        </xdr:from>
        <xdr:to>
          <xdr:col>18</xdr:col>
          <xdr:colOff>822960</xdr:colOff>
          <xdr:row>7</xdr:row>
          <xdr:rowOff>144780</xdr:rowOff>
        </xdr:to>
        <xdr:sp macro="" textlink="">
          <xdr:nvSpPr>
            <xdr:cNvPr id="6149" name="LSTClub"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8</xdr:row>
          <xdr:rowOff>144780</xdr:rowOff>
        </xdr:from>
        <xdr:to>
          <xdr:col>6</xdr:col>
          <xdr:colOff>541020</xdr:colOff>
          <xdr:row>10</xdr:row>
          <xdr:rowOff>68580</xdr:rowOff>
        </xdr:to>
        <xdr:sp macro="" textlink="">
          <xdr:nvSpPr>
            <xdr:cNvPr id="6150" name="BTNcompJ"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220980</xdr:colOff>
          <xdr:row>9</xdr:row>
          <xdr:rowOff>7620</xdr:rowOff>
        </xdr:from>
        <xdr:to>
          <xdr:col>18</xdr:col>
          <xdr:colOff>944880</xdr:colOff>
          <xdr:row>10</xdr:row>
          <xdr:rowOff>114300</xdr:rowOff>
        </xdr:to>
        <xdr:sp macro="" textlink="">
          <xdr:nvSpPr>
            <xdr:cNvPr id="6151" name="BTNfeuilleClub"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899160</xdr:colOff>
          <xdr:row>12</xdr:row>
          <xdr:rowOff>152400</xdr:rowOff>
        </xdr:from>
        <xdr:to>
          <xdr:col>20</xdr:col>
          <xdr:colOff>0</xdr:colOff>
          <xdr:row>13</xdr:row>
          <xdr:rowOff>213360</xdr:rowOff>
        </xdr:to>
        <xdr:sp macro="" textlink="">
          <xdr:nvSpPr>
            <xdr:cNvPr id="6152" name="LSTIndic"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495300</xdr:colOff>
          <xdr:row>12</xdr:row>
          <xdr:rowOff>152400</xdr:rowOff>
        </xdr:from>
        <xdr:to>
          <xdr:col>18</xdr:col>
          <xdr:colOff>830580</xdr:colOff>
          <xdr:row>13</xdr:row>
          <xdr:rowOff>228600</xdr:rowOff>
        </xdr:to>
        <xdr:sp macro="" textlink="">
          <xdr:nvSpPr>
            <xdr:cNvPr id="6153" name="LSTTypes"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381000</xdr:colOff>
          <xdr:row>12</xdr:row>
          <xdr:rowOff>106680</xdr:rowOff>
        </xdr:from>
        <xdr:to>
          <xdr:col>23</xdr:col>
          <xdr:colOff>175260</xdr:colOff>
          <xdr:row>13</xdr:row>
          <xdr:rowOff>251460</xdr:rowOff>
        </xdr:to>
        <xdr:sp macro="" textlink="">
          <xdr:nvSpPr>
            <xdr:cNvPr id="6154" name="BTNGraph"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342900</xdr:colOff>
      <xdr:row>13</xdr:row>
      <xdr:rowOff>338418</xdr:rowOff>
    </xdr:from>
    <xdr:to>
      <xdr:col>24</xdr:col>
      <xdr:colOff>177800</xdr:colOff>
      <xdr:row>32</xdr:row>
      <xdr:rowOff>23757</xdr:rowOff>
    </xdr:to>
    <xdr:graphicFrame macro="">
      <xdr:nvGraphicFramePr>
        <xdr:cNvPr id="3" name="Graphique 2">
          <a:extLst>
            <a:ext uri="{FF2B5EF4-FFF2-40B4-BE49-F238E27FC236}">
              <a16:creationId xmlns:a16="http://schemas.microsoft.com/office/drawing/2014/main" id="{ED14859D-BD57-9BBD-2ED9-B8EED8A53F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xdr:colOff>
      <xdr:row>2</xdr:row>
      <xdr:rowOff>4761</xdr:rowOff>
    </xdr:from>
    <xdr:to>
      <xdr:col>14</xdr:col>
      <xdr:colOff>295276</xdr:colOff>
      <xdr:row>23</xdr:row>
      <xdr:rowOff>9524</xdr:rowOff>
    </xdr:to>
    <mc:AlternateContent xmlns:mc="http://schemas.openxmlformats.org/markup-compatibility/2006">
      <mc:Choice xmlns:cx6="http://schemas.microsoft.com/office/drawing/2016/5/12/chartex" Requires="cx6">
        <xdr:graphicFrame macro="">
          <xdr:nvGraphicFramePr>
            <xdr:cNvPr id="2" name="Graphique 1">
              <a:extLst>
                <a:ext uri="{FF2B5EF4-FFF2-40B4-BE49-F238E27FC236}">
                  <a16:creationId xmlns:a16="http://schemas.microsoft.com/office/drawing/2014/main" id="{80BCE3B1-11A2-2A8C-BBCB-A4EC51255D0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16904" y="370521"/>
              <a:ext cx="6564632" cy="3845243"/>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editAs="absolute">
    <xdr:from>
      <xdr:col>1</xdr:col>
      <xdr:colOff>9524</xdr:colOff>
      <xdr:row>2</xdr:row>
      <xdr:rowOff>0</xdr:rowOff>
    </xdr:from>
    <xdr:to>
      <xdr:col>3</xdr:col>
      <xdr:colOff>819149</xdr:colOff>
      <xdr:row>9</xdr:row>
      <xdr:rowOff>47625</xdr:rowOff>
    </xdr:to>
    <mc:AlternateContent xmlns:mc="http://schemas.openxmlformats.org/markup-compatibility/2006" xmlns:sle15="http://schemas.microsoft.com/office/drawing/2012/slicer">
      <mc:Choice Requires="sle15">
        <xdr:graphicFrame macro="">
          <xdr:nvGraphicFramePr>
            <xdr:cNvPr id="3" name="Provinces">
              <a:extLst>
                <a:ext uri="{FF2B5EF4-FFF2-40B4-BE49-F238E27FC236}">
                  <a16:creationId xmlns:a16="http://schemas.microsoft.com/office/drawing/2014/main" id="{10322EF1-1650-2834-B6F6-05E17A9738B9}"/>
                </a:ext>
              </a:extLst>
            </xdr:cNvPr>
            <xdr:cNvGraphicFramePr/>
          </xdr:nvGraphicFramePr>
          <xdr:xfrm>
            <a:off x="0" y="0"/>
            <a:ext cx="0" cy="0"/>
          </xdr:xfrm>
          <a:graphic>
            <a:graphicData uri="http://schemas.microsoft.com/office/drawing/2010/slicer">
              <sle:slicer xmlns:sle="http://schemas.microsoft.com/office/drawing/2010/slicer" name="Provinces"/>
            </a:graphicData>
          </a:graphic>
        </xdr:graphicFrame>
      </mc:Choice>
      <mc:Fallback xmlns="">
        <xdr:sp macro="" textlink="">
          <xdr:nvSpPr>
            <xdr:cNvPr id="0" name=""/>
            <xdr:cNvSpPr>
              <a:spLocks noTextEdit="1"/>
            </xdr:cNvSpPr>
          </xdr:nvSpPr>
          <xdr:spPr>
            <a:xfrm>
              <a:off x="771524" y="381000"/>
              <a:ext cx="2447925" cy="1381125"/>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ne sont pas pris en charge dans cette version d’Excel.
En revanche, si la forme a été modifiée dans une version antérieure d’Excel, ou si le classeur a été enregistré dans Excel 2007 ou une version antérieure, vous ne pouvez pas utiliser le segment.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53340</xdr:rowOff>
    </xdr:from>
    <xdr:to>
      <xdr:col>0</xdr:col>
      <xdr:colOff>899160</xdr:colOff>
      <xdr:row>5</xdr:row>
      <xdr:rowOff>84122</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3340"/>
          <a:ext cx="899160" cy="1107107"/>
        </a:xfrm>
        <a:prstGeom prst="rect">
          <a:avLst/>
        </a:prstGeom>
      </xdr:spPr>
    </xdr:pic>
    <xdr:clientData/>
  </xdr:twoCellAnchor>
  <xdr:twoCellAnchor editAs="oneCell">
    <xdr:from>
      <xdr:col>0</xdr:col>
      <xdr:colOff>1196340</xdr:colOff>
      <xdr:row>0</xdr:row>
      <xdr:rowOff>106680</xdr:rowOff>
    </xdr:from>
    <xdr:to>
      <xdr:col>1</xdr:col>
      <xdr:colOff>394110</xdr:colOff>
      <xdr:row>5</xdr:row>
      <xdr:rowOff>38098</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96340" y="106680"/>
          <a:ext cx="1066799" cy="101345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53340</xdr:rowOff>
    </xdr:from>
    <xdr:to>
      <xdr:col>0</xdr:col>
      <xdr:colOff>899160</xdr:colOff>
      <xdr:row>5</xdr:row>
      <xdr:rowOff>150797</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3860" y="53340"/>
          <a:ext cx="899160" cy="1112822"/>
        </a:xfrm>
        <a:prstGeom prst="rect">
          <a:avLst/>
        </a:prstGeom>
      </xdr:spPr>
    </xdr:pic>
    <xdr:clientData/>
  </xdr:twoCellAnchor>
  <xdr:twoCellAnchor editAs="oneCell">
    <xdr:from>
      <xdr:col>0</xdr:col>
      <xdr:colOff>1432560</xdr:colOff>
      <xdr:row>0</xdr:row>
      <xdr:rowOff>83820</xdr:rowOff>
    </xdr:from>
    <xdr:to>
      <xdr:col>1</xdr:col>
      <xdr:colOff>876299</xdr:colOff>
      <xdr:row>5</xdr:row>
      <xdr:rowOff>81913</xdr:rowOff>
    </xdr:to>
    <xdr:pic>
      <xdr:nvPicPr>
        <xdr:cNvPr id="3" name="Imag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32560" y="83820"/>
          <a:ext cx="1066799" cy="101345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53340</xdr:rowOff>
    </xdr:from>
    <xdr:to>
      <xdr:col>0</xdr:col>
      <xdr:colOff>899160</xdr:colOff>
      <xdr:row>5</xdr:row>
      <xdr:rowOff>84122</xdr:rowOff>
    </xdr:to>
    <xdr:pic>
      <xdr:nvPicPr>
        <xdr:cNvPr id="7" name="Imag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3860" y="53340"/>
          <a:ext cx="899160" cy="1112822"/>
        </a:xfrm>
        <a:prstGeom prst="rect">
          <a:avLst/>
        </a:prstGeom>
      </xdr:spPr>
    </xdr:pic>
    <xdr:clientData/>
  </xdr:twoCellAnchor>
  <xdr:twoCellAnchor editAs="oneCell">
    <xdr:from>
      <xdr:col>1</xdr:col>
      <xdr:colOff>38100</xdr:colOff>
      <xdr:row>0</xdr:row>
      <xdr:rowOff>83820</xdr:rowOff>
    </xdr:from>
    <xdr:to>
      <xdr:col>1</xdr:col>
      <xdr:colOff>1074419</xdr:colOff>
      <xdr:row>5</xdr:row>
      <xdr:rowOff>15238</xdr:rowOff>
    </xdr:to>
    <xdr:pic>
      <xdr:nvPicPr>
        <xdr:cNvPr id="9" name="Imag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9200" y="83820"/>
          <a:ext cx="1066799" cy="10134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53340</xdr:rowOff>
    </xdr:from>
    <xdr:to>
      <xdr:col>0</xdr:col>
      <xdr:colOff>899160</xdr:colOff>
      <xdr:row>5</xdr:row>
      <xdr:rowOff>84122</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3340"/>
          <a:ext cx="899160" cy="1135682"/>
        </a:xfrm>
        <a:prstGeom prst="rect">
          <a:avLst/>
        </a:prstGeom>
      </xdr:spPr>
    </xdr:pic>
    <xdr:clientData/>
  </xdr:twoCellAnchor>
  <xdr:twoCellAnchor editAs="oneCell">
    <xdr:from>
      <xdr:col>1</xdr:col>
      <xdr:colOff>249555</xdr:colOff>
      <xdr:row>0</xdr:row>
      <xdr:rowOff>93345</xdr:rowOff>
    </xdr:from>
    <xdr:to>
      <xdr:col>1</xdr:col>
      <xdr:colOff>1274444</xdr:colOff>
      <xdr:row>5</xdr:row>
      <xdr:rowOff>24763</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64005" y="93345"/>
          <a:ext cx="1024889" cy="1036318"/>
        </a:xfrm>
        <a:prstGeom prst="rect">
          <a:avLst/>
        </a:prstGeom>
      </xdr:spPr>
    </xdr:pic>
    <xdr:clientData/>
  </xdr:twoCellAnchor>
</xdr:wsDr>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Gironde%20(d%c3%a9partement)" TargetMode="External"/><Relationship Id="rId13" Type="http://schemas.openxmlformats.org/officeDocument/2006/relationships/hyperlink" Target="https://www.bing.com/th?id=OSK.aeed9fcee79ea850fd0a54f7edeab513&amp;qlt=95" TargetMode="External"/><Relationship Id="rId18" Type="http://schemas.openxmlformats.org/officeDocument/2006/relationships/hyperlink" Target="https://www.bing.com/images/search?form=xlimg&amp;q=Lot-et-Garonne" TargetMode="External"/><Relationship Id="rId3" Type="http://schemas.openxmlformats.org/officeDocument/2006/relationships/hyperlink" Target="https://www.bing.com/th?id=OSK.61d45e3f8595d47186925d04134eb6f2&amp;qlt=95" TargetMode="External"/><Relationship Id="rId21" Type="http://schemas.openxmlformats.org/officeDocument/2006/relationships/hyperlink" Target="https://www.bing.com/th?id=OSK.226984d98cdd672f838549f27bee8a68&amp;qlt=95" TargetMode="External"/><Relationship Id="rId7" Type="http://schemas.openxmlformats.org/officeDocument/2006/relationships/hyperlink" Target="https://www.bing.com/th?id=OSK.9924ab9324d9bfe11cd4e40a03f264ca&amp;qlt=95" TargetMode="External"/><Relationship Id="rId12" Type="http://schemas.openxmlformats.org/officeDocument/2006/relationships/hyperlink" Target="https://www.bing.com/images/search?form=xlimg&amp;q=Indre-et-Loire" TargetMode="External"/><Relationship Id="rId17" Type="http://schemas.openxmlformats.org/officeDocument/2006/relationships/hyperlink" Target="https://www.bing.com/th?id=OSK.AHa02VMf_OYe6-1jvOskuz9xwu6CW1I62al-g_w1jQ0&amp;qlt=95" TargetMode="External"/><Relationship Id="rId2" Type="http://schemas.openxmlformats.org/officeDocument/2006/relationships/hyperlink" Target="https://www.bing.com/images/search?form=xlimg&amp;q=Charente%20(d%c3%a9partement)" TargetMode="External"/><Relationship Id="rId16" Type="http://schemas.openxmlformats.org/officeDocument/2006/relationships/hyperlink" Target="https://www.bing.com/images/search?form=xlimg&amp;q=Loiret%20(d%c3%a9partement)" TargetMode="External"/><Relationship Id="rId20" Type="http://schemas.openxmlformats.org/officeDocument/2006/relationships/hyperlink" Target="https://www.bing.com/images/search?form=xlimg&amp;q=Vend%c3%a9e%20(d%c3%a9partement)" TargetMode="External"/><Relationship Id="rId1" Type="http://schemas.openxmlformats.org/officeDocument/2006/relationships/hyperlink" Target="https://www.bing.com/th?id=OSK.79c54427926a05aff4cb678103879ba4&amp;qlt=95" TargetMode="External"/><Relationship Id="rId6" Type="http://schemas.openxmlformats.org/officeDocument/2006/relationships/hyperlink" Target="https://www.bing.com/images/search?form=xlimg&amp;q=Deux-S%c3%a8vres" TargetMode="External"/><Relationship Id="rId11" Type="http://schemas.openxmlformats.org/officeDocument/2006/relationships/hyperlink" Target="https://www.bing.com/th?id=OSK.f1dbbe9f71bdea0b888b79797b7bccc9&amp;qlt=95" TargetMode="External"/><Relationship Id="rId5" Type="http://schemas.openxmlformats.org/officeDocument/2006/relationships/hyperlink" Target="https://www.bing.com/th?id=OSK.5569847e5a20801bc91934e030dd252c&amp;qlt=95" TargetMode="External"/><Relationship Id="rId15" Type="http://schemas.openxmlformats.org/officeDocument/2006/relationships/hyperlink" Target="https://www.bing.com/th?id=OSK.8df26320e95aec80fff7a6b8eb1ddf04&amp;qlt=95" TargetMode="External"/><Relationship Id="rId10" Type="http://schemas.openxmlformats.org/officeDocument/2006/relationships/hyperlink" Target="https://www.bing.com/images/search?form=xlimg&amp;q=Haute-Vienne" TargetMode="External"/><Relationship Id="rId19" Type="http://schemas.openxmlformats.org/officeDocument/2006/relationships/hyperlink" Target="https://www.bing.com/th?id=OSK.83732f76bb1c48552952239925fb0098&amp;qlt=95" TargetMode="External"/><Relationship Id="rId4" Type="http://schemas.openxmlformats.org/officeDocument/2006/relationships/hyperlink" Target="https://www.bing.com/images/search?form=xlimg&amp;q=Charente-Maritime" TargetMode="External"/><Relationship Id="rId9" Type="http://schemas.openxmlformats.org/officeDocument/2006/relationships/hyperlink" Target="https://www.bing.com/th?id=OSK.293589ec6b119ff2402d6179796cbe3b&amp;qlt=95" TargetMode="External"/><Relationship Id="rId14" Type="http://schemas.openxmlformats.org/officeDocument/2006/relationships/hyperlink" Target="https://www.bing.com/images/search?form=xlimg&amp;q=Loire-Atlantique" TargetMode="External"/><Relationship Id="rId22" Type="http://schemas.openxmlformats.org/officeDocument/2006/relationships/hyperlink" Target="https://www.bing.com/images/search?form=xlimg&amp;q=Vienne%20(d%c3%a9partement)"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Srd>
</file>

<file path=xl/richData/rdrichvalue.xml><?xml version="1.0" encoding="utf-8"?>
<rvData xmlns="http://schemas.microsoft.com/office/spreadsheetml/2017/richdata" count="78">
  <rv s="0">
    <v>536870912</v>
    <v>Charente</v>
    <v>650da742-ab9d-e1cf-2b50-4b271b4c82ae</v>
    <v>fr-FR</v>
    <v>Map</v>
  </rv>
  <rv s="0">
    <v>536870912</v>
    <v>France métropolitaine</v>
    <v>a50a7b3c-58a6-b52d-98d1-10a1a763403b</v>
    <v>fr-FR</v>
    <v>Map</v>
  </rv>
  <rv s="1">
    <v>0</v>
    <v>7</v>
    <v>0</v>
    <v>7</v>
    <v>0</v>
    <v>Image of Charente</v>
  </rv>
  <rv s="2">
    <v>https://www.bing.com/search?q=Charente+d%c3%a9partement&amp;form=skydnc</v>
    <v>Apprenez-en davantage avec Bing</v>
  </rv>
  <rv s="0">
    <v>536870912</v>
    <v>France</v>
    <v>c7bfe2de-4f82-e23c-ae42-8544b5b5c0ea</v>
    <v>fr-FR</v>
    <v>Map</v>
  </rv>
  <rv s="0">
    <v>536870912</v>
    <v>Cognac</v>
    <v>04029a62-95c1-21f1-4c5f-f70453b30f5f</v>
    <v>fr-FR</v>
    <v>Map</v>
  </rv>
  <rv s="3">
    <fb>350867</fb>
    <v>9</v>
  </rv>
  <rv s="3">
    <fb>5956</fb>
    <v>9</v>
  </rv>
  <rv s="4">
    <v>#VALUE!</v>
    <v>fr-FR</v>
    <v>650da742-ab9d-e1cf-2b50-4b271b4c82ae</v>
    <v>536870912</v>
    <v>1</v>
    <v>1</v>
    <v>2</v>
    <v>3</v>
    <v>Charente</v>
    <v>5</v>
    <v>6</v>
    <v>Map</v>
    <v>7</v>
    <v>8</v>
    <v>La Charente est un département français situé dans le Sud-Ouest de la France, dans la moitié nord de la région Nouvelle-Aquitaine. Traversé d'est en ouest par le cours supérieur et moyen de la Charente, il doit son nom au fleuve.</v>
    <v>1</v>
    <v>2</v>
    <v>3</v>
    <v>Charente</v>
    <v>4</v>
    <v>5</v>
    <v>6</v>
    <v>7</v>
    <v>Charente</v>
    <v>mdp/vdpid/8581300</v>
  </rv>
  <rv s="0">
    <v>536870912</v>
    <v>Charente-Maritime</v>
    <v>10a89f8a-f91f-d426-88f4-6a1ac9788f5d</v>
    <v>fr-FR</v>
    <v>Map</v>
  </rv>
  <rv s="1">
    <v>1</v>
    <v>7</v>
    <v>10</v>
    <v>7</v>
    <v>0</v>
    <v>Image of Charente-Maritime</v>
  </rv>
  <rv s="2">
    <v>https://www.bing.com/search?q=Charente-Maritime&amp;form=skydnc</v>
    <v>Apprenez-en davantage avec Bing</v>
  </rv>
  <rv s="0">
    <v>536870912</v>
    <v>Aytré</v>
    <v>2271cf76-638a-7c2f-d31f-f87f2028628d</v>
    <v>fr-FR</v>
    <v>Map</v>
  </rv>
  <rv s="3">
    <fb>661404</fb>
    <v>9</v>
  </rv>
  <rv s="3">
    <fb>6864</fb>
    <v>9</v>
  </rv>
  <rv s="4">
    <v>#VALUE!</v>
    <v>fr-FR</v>
    <v>10a89f8a-f91f-d426-88f4-6a1ac9788f5d</v>
    <v>536870912</v>
    <v>1</v>
    <v>11</v>
    <v>2</v>
    <v>3</v>
    <v>Charente-Maritime</v>
    <v>5</v>
    <v>6</v>
    <v>Map</v>
    <v>7</v>
    <v>8</v>
    <v>La Charente-Maritime est un département français situé dans le Sud-Ouest de la France et dans la moitié nord de la région Nouvelle-Aquitaine. Il appartient géographiquement au « Midi atlantique ». Ce département est divisé en cinq ...</v>
    <v>1</v>
    <v>10</v>
    <v>11</v>
    <v>Charente-Maritime</v>
    <v>4</v>
    <v>12</v>
    <v>13</v>
    <v>14</v>
    <v>Charente-Maritime</v>
    <v>mdp/vdpid/8581298</v>
  </rv>
  <rv s="0">
    <v>536870912</v>
    <v>Deux-Sèvres</v>
    <v>a5ffcc63-68c6-7a82-3a9e-7002aefac16b</v>
    <v>fr-FR</v>
    <v>Map</v>
  </rv>
  <rv s="1">
    <v>2</v>
    <v>7</v>
    <v>12</v>
    <v>7</v>
    <v>0</v>
    <v>Image of Deux-Sèvres</v>
  </rv>
  <rv s="2">
    <v>https://www.bing.com/search?q=Deux-S%c3%a8vres&amp;form=skydnc</v>
    <v>Apprenez-en davantage avec Bing</v>
  </rv>
  <rv s="0">
    <v>536870912</v>
    <v>Aunis</v>
    <v>24b4a061-5fad-57a7-2974-93d6dcad1e24</v>
    <v>fr-FR</v>
    <v>Map</v>
  </rv>
  <rv s="3">
    <fb>374587</fb>
    <v>9</v>
  </rv>
  <rv s="3">
    <fb>5999</fb>
    <v>9</v>
  </rv>
  <rv s="4">
    <v>#VALUE!</v>
    <v>fr-FR</v>
    <v>a5ffcc63-68c6-7a82-3a9e-7002aefac16b</v>
    <v>536870912</v>
    <v>1</v>
    <v>13</v>
    <v>2</v>
    <v>3</v>
    <v>Deux-Sèvres</v>
    <v>5</v>
    <v>6</v>
    <v>Map</v>
    <v>7</v>
    <v>8</v>
    <v>Les Deux-Sèvres est un département du Centre-Ouest de la France, situé en région Nouvelle-Aquitaine. Il doit son nom à la Sèvre Nantaise, dernier grand affluent de la Loire, et à la Sèvre Niortaise, fleuve côtier qui se jette dans l'océan ...</v>
    <v>1</v>
    <v>17</v>
    <v>18</v>
    <v>Deux-Sèvres</v>
    <v>4</v>
    <v>19</v>
    <v>20</v>
    <v>21</v>
    <v>Deux-Sèvres</v>
    <v>mdp/vdpid/8576149</v>
  </rv>
  <rv s="0">
    <v>536870912</v>
    <v>Gironde</v>
    <v>5ac5e96b-c1a3-0353-c9e6-6e32bcd9b2a1</v>
    <v>fr-FR</v>
    <v>Map</v>
  </rv>
  <rv s="1">
    <v>3</v>
    <v>7</v>
    <v>14</v>
    <v>7</v>
    <v>0</v>
    <v>Image of Gironde</v>
  </rv>
  <rv s="2">
    <v>https://www.bing.com/search?q=Gironde+d%c3%a9partement&amp;form=skydnc</v>
    <v>Apprenez-en davantage avec Bing</v>
  </rv>
  <rv s="0">
    <v>536870912</v>
    <v>Bordeaux</v>
    <v>54671175-29b0-61d5-fc67-9f8a13b388ab</v>
    <v>fr-FR</v>
    <v>Map</v>
  </rv>
  <rv s="3">
    <fb>1654970</fb>
    <v>9</v>
  </rv>
  <rv s="3">
    <fb>9975.6</fb>
    <v>9</v>
  </rv>
  <rv s="4">
    <v>#VALUE!</v>
    <v>fr-FR</v>
    <v>5ac5e96b-c1a3-0353-c9e6-6e32bcd9b2a1</v>
    <v>536870912</v>
    <v>1</v>
    <v>15</v>
    <v>2</v>
    <v>3</v>
    <v>Gironde</v>
    <v>5</v>
    <v>6</v>
    <v>Map</v>
    <v>7</v>
    <v>8</v>
    <v>La Gironde est un département français situé dans le Sud-Ouest de la France, en région Nouvelle-Aquitaine. Ce département doit son nom à l'estuaire de la Gironde qui prend naissance après la confluence de la Dordogne et de la Garonne au bec ...</v>
    <v>1</v>
    <v>24</v>
    <v>25</v>
    <v>Gironde</v>
    <v>4</v>
    <v>26</v>
    <v>27</v>
    <v>28</v>
    <v>Gironde</v>
    <v>mdp/vdpid/8570578</v>
  </rv>
  <rv s="0">
    <v>536870912</v>
    <v>Haute-Vienne</v>
    <v>0e6e4aef-9741-f2df-dd2a-70065668ce21</v>
    <v>fr-FR</v>
    <v>Map</v>
  </rv>
  <rv s="1">
    <v>4</v>
    <v>7</v>
    <v>16</v>
    <v>7</v>
    <v>0</v>
    <v>Image of Haute-Vienne</v>
  </rv>
  <rv s="2">
    <v>https://www.bing.com/search?q=Haute-Vienne&amp;form=skydnc</v>
    <v>Apprenez-en davantage avec Bing</v>
  </rv>
  <rv s="0">
    <v>536870912</v>
    <v>Limoges</v>
    <v>aba5c9e1-86f7-1209-5cd3-ca89b5047722</v>
    <v>fr-FR</v>
    <v>Map</v>
  </rv>
  <rv s="3">
    <fb>371691</fb>
    <v>9</v>
  </rv>
  <rv s="3">
    <fb>5520</fb>
    <v>9</v>
  </rv>
  <rv s="4">
    <v>#VALUE!</v>
    <v>fr-FR</v>
    <v>0e6e4aef-9741-f2df-dd2a-70065668ce21</v>
    <v>536870912</v>
    <v>1</v>
    <v>17</v>
    <v>2</v>
    <v>3</v>
    <v>Haute-Vienne</v>
    <v>5</v>
    <v>6</v>
    <v>Map</v>
    <v>7</v>
    <v>8</v>
    <v>La Haute-Vienne est un département français, situé dans la région Nouvelle-Aquitaine. Il tire son nom de la rivière Vienne, qui le traverse d'est en ouest. Sa préfecture et principale ville est Limoges. L'Insee et la Poste lui attribuent le code 87.</v>
    <v>1</v>
    <v>31</v>
    <v>32</v>
    <v>Haute-Vienne</v>
    <v>4</v>
    <v>33</v>
    <v>34</v>
    <v>35</v>
    <v>Haute-Vienne</v>
    <v>mdp/vdpid/8568340</v>
  </rv>
  <rv s="0">
    <v>536870912</v>
    <v>Indre-et-Loire</v>
    <v>57d64575-78c8-e5c0-f5a3-4c4ec79d9bd4</v>
    <v>fr-FR</v>
    <v>Map</v>
  </rv>
  <rv s="1">
    <v>5</v>
    <v>7</v>
    <v>18</v>
    <v>7</v>
    <v>0</v>
    <v>Image of Indre-et-Loire</v>
  </rv>
  <rv s="2">
    <v>https://www.bing.com/search?q=Indre-et-Loire&amp;form=skydnc</v>
    <v>Apprenez-en davantage avec Bing</v>
  </rv>
  <rv s="0">
    <v>536870912</v>
    <v>Tours</v>
    <v>123daf10-aa5d-a9f0-e52c-5222ca67ed24</v>
    <v>fr-FR</v>
    <v>Map</v>
  </rv>
  <rv s="3">
    <fb>612160</fb>
    <v>9</v>
  </rv>
  <rv s="3">
    <fb>6127</fb>
    <v>9</v>
  </rv>
  <rv s="4">
    <v>#VALUE!</v>
    <v>fr-FR</v>
    <v>57d64575-78c8-e5c0-f5a3-4c4ec79d9bd4</v>
    <v>536870912</v>
    <v>1</v>
    <v>19</v>
    <v>2</v>
    <v>3</v>
    <v>Indre-et-Loire</v>
    <v>5</v>
    <v>6</v>
    <v>Map</v>
    <v>7</v>
    <v>8</v>
    <v>Le département d'Indre-et-Loire est un département français situé en région Centre-Val de Loire. L'Insee et la Poste lui attribuent le code 37. Peuplé de 612 160 habitants, sa préfecture est Tours. Le département correspond à l'ancienne province ...</v>
    <v>1</v>
    <v>38</v>
    <v>39</v>
    <v>Indre-et-Loire</v>
    <v>4</v>
    <v>40</v>
    <v>41</v>
    <v>42</v>
    <v>Indre-et-Loire</v>
    <v>mdp/vdpid/8567422</v>
  </rv>
  <rv s="0">
    <v>536870912</v>
    <v>Loire-Atlantique</v>
    <v>bf4a4628-ceb5-b5d0-4889-890b473d3127</v>
    <v>fr-FR</v>
    <v>Map</v>
  </rv>
  <rv s="1">
    <v>6</v>
    <v>7</v>
    <v>20</v>
    <v>7</v>
    <v>0</v>
    <v>Image of Loire-Atlantique</v>
  </rv>
  <rv s="2">
    <v>https://www.bing.com/search?q=Loire-Atlantique&amp;form=skydnc</v>
    <v>Apprenez-en davantage avec Bing</v>
  </rv>
  <rv s="0">
    <v>536870912</v>
    <v>Nantes</v>
    <v>36c02f25-dff8-1792-6ce3-a1b15dcbeb83</v>
    <v>fr-FR</v>
    <v>Map</v>
  </rv>
  <rv s="3">
    <fb>1457806</fb>
    <v>9</v>
  </rv>
  <rv s="3">
    <fb>6809</fb>
    <v>9</v>
  </rv>
  <rv s="4">
    <v>#VALUE!</v>
    <v>fr-FR</v>
    <v>bf4a4628-ceb5-b5d0-4889-890b473d3127</v>
    <v>536870912</v>
    <v>1</v>
    <v>21</v>
    <v>2</v>
    <v>3</v>
    <v>Loire-Atlantique</v>
    <v>5</v>
    <v>6</v>
    <v>Map</v>
    <v>7</v>
    <v>8</v>
    <v>La Loire-Atlantique est un département français, situé dans la région Pays de la Loire. Elle doit son nom à la présence de la Loire, important fleuve qui la traverse, et de l'océan Atlantique, qui borde sa côte, à l'ouest, où l'embouchure de la ...</v>
    <v>1</v>
    <v>45</v>
    <v>46</v>
    <v>Loire-Atlantique</v>
    <v>4</v>
    <v>47</v>
    <v>48</v>
    <v>49</v>
    <v>Loire-Atlantique</v>
    <v>mdp/vdpid/7013392415025266689</v>
  </rv>
  <rv s="0">
    <v>536870912</v>
    <v>Loiret</v>
    <v>a6fbc858-6174-1507-1ef3-722b5331eb96</v>
    <v>fr-FR</v>
    <v>Map</v>
  </rv>
  <rv s="1">
    <v>7</v>
    <v>7</v>
    <v>22</v>
    <v>7</v>
    <v>0</v>
    <v>Image of Loiret</v>
  </rv>
  <rv s="2">
    <v>https://www.bing.com/search?q=Loiret+d%c3%a9partement&amp;form=skydnc</v>
    <v>Apprenez-en davantage avec Bing</v>
  </rv>
  <rv s="0">
    <v>536870912</v>
    <v>Orléans</v>
    <v>6d05209a-e1cf-c099-fc1c-d3087531f234</v>
    <v>fr-FR</v>
    <v>Map</v>
  </rv>
  <rv s="3">
    <fb>684561</fb>
    <v>9</v>
  </rv>
  <rv s="3">
    <fb>6775</fb>
    <v>9</v>
  </rv>
  <rv s="4">
    <v>#VALUE!</v>
    <v>fr-FR</v>
    <v>a6fbc858-6174-1507-1ef3-722b5331eb96</v>
    <v>536870912</v>
    <v>1</v>
    <v>23</v>
    <v>2</v>
    <v>3</v>
    <v>Loiret</v>
    <v>5</v>
    <v>6</v>
    <v>Map</v>
    <v>7</v>
    <v>8</v>
    <v>Le département du Loiret est un département français de la région Centre-Val de Loire. L'Insee et la Poste lui attribuent le code 45. Sa préfecture est Orléans et c'est aussi le chef-lieu de la région.</v>
    <v>1</v>
    <v>52</v>
    <v>53</v>
    <v>Loiret</v>
    <v>4</v>
    <v>54</v>
    <v>55</v>
    <v>56</v>
    <v>Loiret</v>
    <v>mdp/vdpid/8552450</v>
  </rv>
  <rv s="0">
    <v>536870912</v>
    <v>Lot-et-Garonne</v>
    <v>847c1ec4-708f-d3ba-ef4a-ba275d255773</v>
    <v>fr-FR</v>
    <v>Map</v>
  </rv>
  <rv s="1">
    <v>8</v>
    <v>7</v>
    <v>24</v>
    <v>7</v>
    <v>0</v>
    <v>Image of Lot-et-Garonne</v>
  </rv>
  <rv s="2">
    <v>https://www.bing.com/search?q=Lot-et-Garonne&amp;form=skydnc</v>
    <v>Apprenez-en davantage avec Bing</v>
  </rv>
  <rv s="0">
    <v>536870912</v>
    <v>Agen</v>
    <v>d85c0127-b581-46c4-affa-e8ed6ee4df56</v>
    <v>fr-FR</v>
    <v>Map</v>
  </rv>
  <rv s="3">
    <fb>331229</fb>
    <v>9</v>
  </rv>
  <rv s="3">
    <fb>5361</fb>
    <v>9</v>
  </rv>
  <rv s="4">
    <v>#VALUE!</v>
    <v>fr-FR</v>
    <v>847c1ec4-708f-d3ba-ef4a-ba275d255773</v>
    <v>536870912</v>
    <v>1</v>
    <v>25</v>
    <v>2</v>
    <v>3</v>
    <v>Lot-et-Garonne</v>
    <v>5</v>
    <v>6</v>
    <v>Map</v>
    <v>7</v>
    <v>8</v>
    <v>Le Lot-et-Garonne est un département français. Il se trouve en région Nouvelle-Aquitaine, en Guyenne, pour la rive droite de la Garonne et en Gascogne pour la rive gauche. Son nom vient de deux cours d'eau: le Lot et la Garonne. L'Insee et la ...</v>
    <v>1</v>
    <v>59</v>
    <v>60</v>
    <v>Lot-et-Garonne</v>
    <v>4</v>
    <v>61</v>
    <v>62</v>
    <v>63</v>
    <v>Lot-et-Garonne</v>
    <v>mdp/vdpid/8552113</v>
  </rv>
  <rv s="0">
    <v>536870912</v>
    <v>Vendée</v>
    <v>7fe21032-33eb-c61f-ab06-3796d48b9159</v>
    <v>fr-FR</v>
    <v>Map</v>
  </rv>
  <rv s="1">
    <v>9</v>
    <v>7</v>
    <v>26</v>
    <v>7</v>
    <v>0</v>
    <v>Image of Vendée</v>
  </rv>
  <rv s="2">
    <v>https://www.bing.com/search?q=Vend%c3%a9e+d%c3%a9partement&amp;form=skydnc</v>
    <v>Apprenez-en davantage avec Bing</v>
  </rv>
  <rv s="0">
    <v>536870912</v>
    <v>Olonne-sur-Mer</v>
    <v>e9182459-61a1-7992-fa65-0528790dfe37</v>
    <v>fr-FR</v>
    <v>Map</v>
  </rv>
  <rv s="3">
    <fb>699459</fb>
    <v>9</v>
  </rv>
  <rv s="3">
    <fb>6720</fb>
    <v>9</v>
  </rv>
  <rv s="4">
    <v>#VALUE!</v>
    <v>fr-FR</v>
    <v>7fe21032-33eb-c61f-ab06-3796d48b9159</v>
    <v>536870912</v>
    <v>1</v>
    <v>27</v>
    <v>2</v>
    <v>3</v>
    <v>Vendée</v>
    <v>5</v>
    <v>6</v>
    <v>Map</v>
    <v>7</v>
    <v>8</v>
    <v>La Vendée est un département français traversé par la rivière éponyme, affluent de la Sèvre Niortaise. Il est situé dans la région des Pays de la Loire et dans la province historique du Poitou, le département correspondant à l'ancien Bas-Poitou. ...</v>
    <v>1</v>
    <v>66</v>
    <v>67</v>
    <v>Vendée</v>
    <v>4</v>
    <v>68</v>
    <v>69</v>
    <v>70</v>
    <v>Vendée</v>
    <v>mdp/vdpid/8524650</v>
  </rv>
  <rv s="0">
    <v>536870912</v>
    <v>Vienne</v>
    <v>108aa0c8-eac5-ed42-9c55-7576e85f4a8f</v>
    <v>fr-FR</v>
    <v>Map</v>
  </rv>
  <rv s="1">
    <v>10</v>
    <v>7</v>
    <v>28</v>
    <v>7</v>
    <v>0</v>
    <v>Image of Vienne</v>
  </rv>
  <rv s="2">
    <v>https://www.bing.com/search?q=Vienne+d%c3%a9partement&amp;form=skydnc</v>
    <v>Apprenez-en davantage avec Bing</v>
  </rv>
  <rv s="3">
    <fb>439385</fb>
    <v>9</v>
  </rv>
  <rv s="3">
    <fb>6990</fb>
    <v>9</v>
  </rv>
  <rv s="5">
    <v>#VALUE!</v>
    <v>fr-FR</v>
    <v>108aa0c8-eac5-ed42-9c55-7576e85f4a8f</v>
    <v>536870912</v>
    <v>1</v>
    <v>29</v>
    <v>30</v>
    <v>31</v>
    <v>Vienne</v>
    <v>5</v>
    <v>6</v>
    <v>Map</v>
    <v>7</v>
    <v>8</v>
    <v>La Vienne est un département français traversé par la rivière éponyme, la Vienne. Cinquième département le plus étendu de la région Nouvelle-Aquitaine et 17ᵉ plus grand département de France métropolitaine, il se caractérise cependant par un ...</v>
    <v>1</v>
    <v>73</v>
    <v>74</v>
    <v>Vienne</v>
    <v>4</v>
    <v>75</v>
    <v>76</v>
    <v>Vienne</v>
    <v>mdp/vdpid/8523790</v>
  </rv>
</rvData>
</file>

<file path=xl/richData/rdrichvaluestructure.xml><?xml version="1.0" encoding="utf-8"?>
<rvStructures xmlns="http://schemas.microsoft.com/office/spreadsheetml/2017/richdata" count="6">
  <s t="_linkedentity2">
    <k n="%EntityServiceId" t="i"/>
    <k n="_DisplayString" t="s"/>
    <k n="%EntityId" t="s"/>
    <k n="%EntityCulture" t="s"/>
    <k n="_Icon" t="s"/>
  </s>
  <s t="_webimage">
    <k n="WebImageIdentifier" t="i"/>
    <k n="_Provider" t="spb"/>
    <k n="Attribution" t="spb"/>
    <k n="CalcOrigin" t="i"/>
    <k n="ComputedImage" t="b"/>
    <k n="Text" t="s"/>
  </s>
  <s t="_hyperlink">
    <k n="Address" t="s"/>
    <k n="Text" t="s"/>
  </s>
  <s t="_formattednumber">
    <k n="_Format" t="spb"/>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Description" t="s"/>
    <k n="Division administrative 1 (État/province/autre)" t="r"/>
    <k n="Image" t="r"/>
    <k n="LearnMoreOnLink" t="r"/>
    <k n="Nom" t="s"/>
    <k n="Pays/région" t="r"/>
    <k n="Plus grande ville" t="r"/>
    <k n="Population" t="r"/>
    <k n="Superficie" t="r"/>
    <k n="UniqueName" t="s"/>
    <k n="VDPID/VSID" t="s"/>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Description" t="s"/>
    <k n="Division administrative 1 (État/province/autre)" t="r"/>
    <k n="Image" t="r"/>
    <k n="LearnMoreOnLink" t="r"/>
    <k n="Nom" t="s"/>
    <k n="Pays/région" t="r"/>
    <k n="Population" t="r"/>
    <k n="Superficie" t="r"/>
    <k n="UniqueName" t="s"/>
    <k n="VDPID/VSID" t="s"/>
  </s>
</rvStructures>
</file>

<file path=xl/richData/rdsupportingpropertybag.xml><?xml version="1.0" encoding="utf-8"?>
<supportingPropertyBags xmlns="http://schemas.microsoft.com/office/spreadsheetml/2017/richdata2">
  <spbArrays count="2">
    <a count="24">
      <v t="s">%EntityServiceId</v>
      <v t="s">%IsRefreshable</v>
      <v t="s">_CanonicalPropertyNames</v>
      <v t="s">%EntityCulture</v>
      <v t="s">%EntityId</v>
      <v t="s">_Icon</v>
      <v t="s">_Provider</v>
      <v t="s">_Attribution</v>
      <v t="s">_Display</v>
      <v t="s">Nom</v>
      <v t="s">_Format</v>
      <v t="s">Division administrative 1 (État/province/autre)</v>
      <v t="s">Pays/région</v>
      <v t="s">_SubLabel</v>
      <v t="s">Population</v>
      <v t="s">Superficie</v>
      <v t="s">Plus grande ville</v>
      <v t="s">_Flags</v>
      <v t="s">VDPID/VSID</v>
      <v t="s">UniqueName</v>
      <v t="s">_DisplayString</v>
      <v t="s">LearnMoreOnLink</v>
      <v t="s">Image</v>
      <v t="s">Description</v>
    </a>
    <a count="23">
      <v t="s">%EntityServiceId</v>
      <v t="s">%IsRefreshable</v>
      <v t="s">_CanonicalPropertyNames</v>
      <v t="s">%EntityCulture</v>
      <v t="s">%EntityId</v>
      <v t="s">_Icon</v>
      <v t="s">_Provider</v>
      <v t="s">_Attribution</v>
      <v t="s">_Display</v>
      <v t="s">Nom</v>
      <v t="s">_Format</v>
      <v t="s">Division administrative 1 (État/province/autre)</v>
      <v t="s">Pays/région</v>
      <v t="s">_SubLabel</v>
      <v t="s">Population</v>
      <v t="s">Superficie</v>
      <v t="s">_Flags</v>
      <v t="s">VDPID/VSID</v>
      <v t="s">UniqueName</v>
      <v t="s">_DisplayString</v>
      <v t="s">LearnMoreOnLink</v>
      <v t="s">Image</v>
      <v t="s">Description</v>
    </a>
  </spbArrays>
  <spbData count="32">
    <spb s="0">
      <v xml:space="preserve">Wikipedia	</v>
      <v xml:space="preserve">CC BY-SA 3.0	</v>
      <v xml:space="preserve">https://fr.wikipedia.org/wiki/Charente_(d%C3%A9partement)	</v>
      <v xml:space="preserve">https://creativecommons.org/licenses/by-sa/3.0	</v>
    </spb>
    <spb s="1">
      <v>0</v>
      <v>0</v>
      <v>0</v>
      <v>0</v>
      <v>0</v>
      <v>0</v>
      <v>0</v>
    </spb>
    <spb s="2">
      <v>Name</v>
      <v>Image</v>
      <v>Population</v>
      <v>Area</v>
      <v>UniqueName</v>
      <v>VDPID/VSID</v>
      <v>Description</v>
      <v>Country/region</v>
      <v>LearnMoreOnLink</v>
      <v>Largest city</v>
      <v>Admin Division 1 (State/province/other)</v>
    </spb>
    <spb s="3">
      <v>0</v>
      <v>Name</v>
      <v>LearnMoreOnLink</v>
    </spb>
    <spb s="4">
      <v>0</v>
      <v>0</v>
      <v>0</v>
    </spb>
    <spb s="5">
      <v>4</v>
      <v>4</v>
      <v>4</v>
    </spb>
    <spb s="6">
      <v>1</v>
      <v>2</v>
    </spb>
    <spb s="7">
      <v>https://www.bing.com</v>
      <v>https://www.bing.com/th?id=Ga%5Cbing_yt.png&amp;w=100&amp;h=40&amp;c=0&amp;pid=0.1</v>
      <v>Avec Bing</v>
    </spb>
    <spb s="8">
      <v>2021</v>
      <v>km carré</v>
    </spb>
    <spb s="9">
      <v>3</v>
    </spb>
    <spb s="0">
      <v xml:space="preserve">Wikipedia	</v>
      <v xml:space="preserve">CC BY-SA 3.0	</v>
      <v xml:space="preserve">https://fr.wikipedia.org/wiki/Charente-Maritime	</v>
      <v xml:space="preserve">https://creativecommons.org/licenses/by-sa/3.0	</v>
    </spb>
    <spb s="1">
      <v>10</v>
      <v>10</v>
      <v>10</v>
      <v>10</v>
      <v>10</v>
      <v>10</v>
      <v>10</v>
    </spb>
    <spb s="0">
      <v xml:space="preserve">Wikipedia	</v>
      <v xml:space="preserve">CC BY-SA 3.0	</v>
      <v xml:space="preserve">https://fr.wikipedia.org/wiki/Deux-S%C3%A8vres	</v>
      <v xml:space="preserve">https://creativecommons.org/licenses/by-sa/3.0	</v>
    </spb>
    <spb s="1">
      <v>12</v>
      <v>12</v>
      <v>12</v>
      <v>12</v>
      <v>12</v>
      <v>12</v>
      <v>12</v>
    </spb>
    <spb s="0">
      <v xml:space="preserve">Wikipedia	</v>
      <v xml:space="preserve">CC BY-SA 3.0	</v>
      <v xml:space="preserve">https://fr.wikipedia.org/wiki/Gironde_(d%C3%A9partement)	</v>
      <v xml:space="preserve">https://creativecommons.org/licenses/by-sa/3.0	</v>
    </spb>
    <spb s="10">
      <v>14</v>
      <v>14</v>
      <v>14</v>
      <v>14</v>
      <v>14</v>
      <v>14</v>
      <v>14</v>
      <v>14</v>
    </spb>
    <spb s="0">
      <v xml:space="preserve">Wikipedia	</v>
      <v xml:space="preserve">CC BY-SA 3.0	</v>
      <v xml:space="preserve">https://fr.wikipedia.org/wiki/Haute-Vienne	</v>
      <v xml:space="preserve">https://creativecommons.org/licenses/by-sa/3.0	</v>
    </spb>
    <spb s="10">
      <v>16</v>
      <v>16</v>
      <v>16</v>
      <v>16</v>
      <v>16</v>
      <v>16</v>
      <v>16</v>
      <v>16</v>
    </spb>
    <spb s="0">
      <v xml:space="preserve">Wikipedia	</v>
      <v xml:space="preserve">CC BY-SA 3.0	</v>
      <v xml:space="preserve">https://fr.wikipedia.org/wiki/Indre-et-Loire	</v>
      <v xml:space="preserve">https://creativecommons.org/licenses/by-sa/3.0	</v>
    </spb>
    <spb s="10">
      <v>18</v>
      <v>18</v>
      <v>18</v>
      <v>18</v>
      <v>18</v>
      <v>18</v>
      <v>18</v>
      <v>18</v>
    </spb>
    <spb s="0">
      <v xml:space="preserve">Wikipedia	</v>
      <v xml:space="preserve">CC BY-SA 3.0	</v>
      <v xml:space="preserve">https://fr.wikipedia.org/wiki/Loire-Atlantique	</v>
      <v xml:space="preserve">https://creativecommons.org/licenses/by-sa/3.0	</v>
    </spb>
    <spb s="10">
      <v>20</v>
      <v>20</v>
      <v>20</v>
      <v>20</v>
      <v>20</v>
      <v>20</v>
      <v>20</v>
      <v>20</v>
    </spb>
    <spb s="0">
      <v xml:space="preserve">Wikipedia	</v>
      <v xml:space="preserve">CC BY-SA 3.0	</v>
      <v xml:space="preserve">https://fr.wikipedia.org/wiki/Loiret_(d%C3%A9partement)	</v>
      <v xml:space="preserve">https://creativecommons.org/licenses/by-sa/3.0	</v>
    </spb>
    <spb s="10">
      <v>22</v>
      <v>22</v>
      <v>22</v>
      <v>22</v>
      <v>22</v>
      <v>22</v>
      <v>22</v>
      <v>22</v>
    </spb>
    <spb s="0">
      <v xml:space="preserve">Wikipedia	</v>
      <v xml:space="preserve">CC BY-SA 3.0	</v>
      <v xml:space="preserve">https://fr.wikipedia.org/wiki/Lot-et-Garonne	</v>
      <v xml:space="preserve">https://creativecommons.org/licenses/by-sa/3.0	</v>
    </spb>
    <spb s="10">
      <v>24</v>
      <v>24</v>
      <v>24</v>
      <v>24</v>
      <v>24</v>
      <v>24</v>
      <v>24</v>
      <v>24</v>
    </spb>
    <spb s="0">
      <v xml:space="preserve">Wikipedia	</v>
      <v xml:space="preserve">CC BY-SA 3.0	</v>
      <v xml:space="preserve">https://fr.wikipedia.org/wiki/Vend%C3%A9e_(d%C3%A9partement)	</v>
      <v xml:space="preserve">https://creativecommons.org/licenses/by-sa/3.0	</v>
    </spb>
    <spb s="1">
      <v>26</v>
      <v>26</v>
      <v>26</v>
      <v>26</v>
      <v>26</v>
      <v>26</v>
      <v>26</v>
    </spb>
    <spb s="0">
      <v xml:space="preserve">Wikipedia	</v>
      <v xml:space="preserve">CC BY-SA 3.0	</v>
      <v xml:space="preserve">https://fr.wikipedia.org/wiki/Vienne_(d%C3%A9partement)	</v>
      <v xml:space="preserve">https://creativecommons.org/licenses/by-sa/3.0	</v>
    </spb>
    <spb s="1">
      <v>28</v>
      <v>28</v>
      <v>28</v>
      <v>28</v>
      <v>28</v>
      <v>28</v>
      <v>28</v>
    </spb>
    <spb s="11">
      <v>Name</v>
      <v>Image</v>
      <v>Population</v>
      <v>Area</v>
      <v>UniqueName</v>
      <v>VDPID/VSID</v>
      <v>Description</v>
      <v>Country/region</v>
      <v>LearnMoreOnLink</v>
      <v>Admin Division 1 (State/province/other)</v>
    </spb>
    <spb s="3">
      <v>1</v>
      <v>Name</v>
      <v>LearnMoreOnLink</v>
    </spb>
  </spbData>
</supportingPropertyBags>
</file>

<file path=xl/richData/rdsupportingpropertybagstructure.xml><?xml version="1.0" encoding="utf-8"?>
<spbStructures xmlns="http://schemas.microsoft.com/office/spreadsheetml/2017/richdata2" count="12">
  <s>
    <k n="SourceText" t="s"/>
    <k n="LicenseText" t="s"/>
    <k n="SourceAddress" t="s"/>
    <k n="LicenseAddress" t="s"/>
  </s>
  <s>
    <k n="Nom" t="spb"/>
    <k n="Population" t="spb"/>
    <k n="Superficie" t="spb"/>
    <k n="UniqueName" t="spb"/>
    <k n="Description" t="spb"/>
    <k n="Pays/région" t="spb"/>
    <k n="Division administrative 1 (État/province/autre)" t="spb"/>
  </s>
  <s>
    <k n="Nom" t="s"/>
    <k n="Image" t="s"/>
    <k n="Population" t="s"/>
    <k n="Superficie" t="s"/>
    <k n="UniqueName" t="s"/>
    <k n="VDPID/VSID" t="s"/>
    <k n="Description" t="s"/>
    <k n="Pays/région" t="s"/>
    <k n="LearnMoreOnLink" t="s"/>
    <k n="Plus grande ville" t="s"/>
    <k n="Division administrative 1 (État/province/autre)" t="s"/>
  </s>
  <s>
    <k n="^Order" t="spba"/>
    <k n="TitleProperty" t="s"/>
    <k n="SubTitleProperty" t="s"/>
  </s>
  <s>
    <k n="ShowInCardView" t="b"/>
    <k n="ShowInDotNotation" t="b"/>
    <k n="ShowInAutoComplete" t="b"/>
  </s>
  <s>
    <k n="UniqueName" t="spb"/>
    <k n="VDPID/VSID" t="spb"/>
    <k n="LearnMoreOnLink" t="spb"/>
  </s>
  <s>
    <k n="Nom" t="i"/>
    <k n="Image" t="i"/>
  </s>
  <s>
    <k n="link" t="s"/>
    <k n="logo" t="s"/>
    <k n="name" t="s"/>
  </s>
  <s>
    <k n="Population" t="s"/>
    <k n="Superficie" t="s"/>
  </s>
  <s>
    <k n="_Self" t="i"/>
  </s>
  <s>
    <k n="Nom" t="spb"/>
    <k n="Population" t="spb"/>
    <k n="Superficie" t="spb"/>
    <k n="UniqueName" t="spb"/>
    <k n="Description" t="spb"/>
    <k n="Pays/région" t="spb"/>
    <k n="Plus grande ville" t="spb"/>
    <k n="Division administrative 1 (État/province/autre)" t="spb"/>
  </s>
  <s>
    <k n="Nom" t="s"/>
    <k n="Image" t="s"/>
    <k n="Population" t="s"/>
    <k n="Superficie" t="s"/>
    <k n="UniqueName" t="s"/>
    <k n="VDPID/VSID" t="s"/>
    <k n="Description" t="s"/>
    <k n="Pays/région" t="s"/>
    <k n="LearnMoreOnLink" t="s"/>
    <k n="Division administrative 1 (État/province/autr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3" formatCode="#,##0"/>
    </x:dxf>
  </dxfs>
  <richProperties>
    <rPr n="IsTitleField" t="b"/>
    <rPr n="IsHeroField" t="b"/>
    <rPr n="NumberFormat" t="s"/>
  </richProperties>
  <richStyles>
    <rSty>
      <rpv i="0">1</rpv>
    </rSty>
    <rSty>
      <rpv i="1">1</rpv>
    </rSty>
    <rSty dxfid="0">
      <rpv i="2">#,##0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Provinces" xr10:uid="{A86C287D-AE15-4A5D-A604-5E9DA26D2438}" sourceName="Provinces">
  <extLst>
    <x:ext xmlns:x15="http://schemas.microsoft.com/office/spreadsheetml/2010/11/main" uri="{2F2917AC-EB37-4324-AD4E-5DD8C200BD13}">
      <x15:tableSlicerCache tableId="1"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vinces" xr10:uid="{9BA52B0B-BD82-4CBC-B69D-62FDF0055231}" cache="Segment_Provinces" caption="Provinces"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625623-C179-49A9-ACA1-14847D6BCE75}" name="Tableau2" displayName="Tableau2" ref="B12:E23" totalsRowShown="0" headerRowDxfId="6" dataDxfId="5" tableBorderDxfId="4" headerRowCellStyle="Normal 2">
  <autoFilter ref="B12:E23" xr:uid="{CA625623-C179-49A9-ACA1-14847D6BCE75}"/>
  <tableColumns count="4">
    <tableColumn id="1" xr3:uid="{288BA9F3-5256-4481-8DE9-808E07203131}" name="Pays" dataDxfId="3" dataCellStyle="Normal 2"/>
    <tableColumn id="2" xr3:uid="{6A011B35-5866-4ACA-A1DD-967C5149C6A7}" name="Provinces" dataDxfId="2" dataCellStyle="Normal 2"/>
    <tableColumn id="3" xr3:uid="{DE9AE9C7-4CFE-4796-9260-39F049A95EF0}" name="Départements" dataDxfId="1"/>
    <tableColumn id="4" xr3:uid="{8A3147D0-FB10-4752-A99B-D13BEEA29D14}" name="Nb de joueurs" dataDxfId="0"/>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Vert">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control" Target="../activeX/activeX9.xml"/><Relationship Id="rId18" Type="http://schemas.openxmlformats.org/officeDocument/2006/relationships/image" Target="../media/image13.emf"/><Relationship Id="rId3" Type="http://schemas.openxmlformats.org/officeDocument/2006/relationships/control" Target="../activeX/activeX4.xml"/><Relationship Id="rId7" Type="http://schemas.openxmlformats.org/officeDocument/2006/relationships/control" Target="../activeX/activeX6.xml"/><Relationship Id="rId12" Type="http://schemas.openxmlformats.org/officeDocument/2006/relationships/image" Target="../media/image10.emf"/><Relationship Id="rId17" Type="http://schemas.openxmlformats.org/officeDocument/2006/relationships/control" Target="../activeX/activeX11.xml"/><Relationship Id="rId2" Type="http://schemas.openxmlformats.org/officeDocument/2006/relationships/vmlDrawing" Target="../drawings/vmlDrawing2.vml"/><Relationship Id="rId16" Type="http://schemas.openxmlformats.org/officeDocument/2006/relationships/image" Target="../media/image12.emf"/><Relationship Id="rId20" Type="http://schemas.openxmlformats.org/officeDocument/2006/relationships/image" Target="../media/image14.emf"/><Relationship Id="rId1" Type="http://schemas.openxmlformats.org/officeDocument/2006/relationships/drawing" Target="../drawings/drawing2.xml"/><Relationship Id="rId6" Type="http://schemas.openxmlformats.org/officeDocument/2006/relationships/image" Target="../media/image7.emf"/><Relationship Id="rId11" Type="http://schemas.openxmlformats.org/officeDocument/2006/relationships/control" Target="../activeX/activeX8.xml"/><Relationship Id="rId5" Type="http://schemas.openxmlformats.org/officeDocument/2006/relationships/control" Target="../activeX/activeX5.xml"/><Relationship Id="rId15" Type="http://schemas.openxmlformats.org/officeDocument/2006/relationships/control" Target="../activeX/activeX10.xml"/><Relationship Id="rId10" Type="http://schemas.openxmlformats.org/officeDocument/2006/relationships/image" Target="../media/image9.emf"/><Relationship Id="rId19" Type="http://schemas.openxmlformats.org/officeDocument/2006/relationships/control" Target="../activeX/activeX12.xml"/><Relationship Id="rId4" Type="http://schemas.openxmlformats.org/officeDocument/2006/relationships/image" Target="../media/image6.emf"/><Relationship Id="rId9" Type="http://schemas.openxmlformats.org/officeDocument/2006/relationships/control" Target="../activeX/activeX7.xml"/><Relationship Id="rId14" Type="http://schemas.openxmlformats.org/officeDocument/2006/relationships/image" Target="../media/image11.emf"/></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3C2AD-3CCC-416B-AC14-CF241F27E3A7}">
  <sheetPr codeName="Feuil1"/>
  <dimension ref="E5:N22"/>
  <sheetViews>
    <sheetView workbookViewId="0">
      <selection activeCell="S6" sqref="S6"/>
    </sheetView>
  </sheetViews>
  <sheetFormatPr baseColWidth="10" defaultColWidth="11.6640625" defaultRowHeight="14.4" x14ac:dyDescent="0.3"/>
  <cols>
    <col min="1" max="16384" width="11.6640625" style="21"/>
  </cols>
  <sheetData>
    <row r="5" spans="5:14" ht="15" thickBot="1" x14ac:dyDescent="0.35"/>
    <row r="6" spans="5:14" x14ac:dyDescent="0.3">
      <c r="E6" s="111"/>
      <c r="F6" s="112"/>
      <c r="G6" s="112"/>
      <c r="H6" s="112"/>
      <c r="I6" s="112"/>
      <c r="J6" s="112"/>
      <c r="K6" s="112"/>
      <c r="L6" s="112"/>
      <c r="M6" s="112"/>
      <c r="N6" s="113"/>
    </row>
    <row r="7" spans="5:14" x14ac:dyDescent="0.3">
      <c r="E7" s="114"/>
      <c r="F7" s="115"/>
      <c r="G7" s="115"/>
      <c r="H7" s="115"/>
      <c r="I7" s="115"/>
      <c r="J7" s="115"/>
      <c r="K7" s="115"/>
      <c r="L7" s="115"/>
      <c r="M7" s="115"/>
      <c r="N7" s="116"/>
    </row>
    <row r="8" spans="5:14" x14ac:dyDescent="0.3">
      <c r="E8" s="114"/>
      <c r="F8" s="115"/>
      <c r="G8" s="115"/>
      <c r="H8" s="115"/>
      <c r="I8" s="115"/>
      <c r="J8" s="115"/>
      <c r="K8" s="115"/>
      <c r="L8" s="115"/>
      <c r="M8" s="115"/>
      <c r="N8" s="116"/>
    </row>
    <row r="9" spans="5:14" x14ac:dyDescent="0.3">
      <c r="E9" s="114"/>
      <c r="F9" s="115"/>
      <c r="G9" s="115"/>
      <c r="H9" s="115"/>
      <c r="I9" s="115"/>
      <c r="J9" s="115"/>
      <c r="K9" s="115"/>
      <c r="L9" s="115"/>
      <c r="M9" s="115"/>
      <c r="N9" s="116"/>
    </row>
    <row r="10" spans="5:14" x14ac:dyDescent="0.3">
      <c r="E10" s="114"/>
      <c r="F10" s="115"/>
      <c r="G10" s="115"/>
      <c r="H10" s="115"/>
      <c r="I10" s="115"/>
      <c r="J10" s="115"/>
      <c r="K10" s="115"/>
      <c r="L10" s="115"/>
      <c r="M10" s="115"/>
      <c r="N10" s="116"/>
    </row>
    <row r="11" spans="5:14" x14ac:dyDescent="0.3">
      <c r="E11" s="114"/>
      <c r="F11" s="115"/>
      <c r="G11" s="115"/>
      <c r="H11" s="115"/>
      <c r="I11" s="115"/>
      <c r="J11" s="115"/>
      <c r="K11" s="115"/>
      <c r="L11" s="115"/>
      <c r="M11" s="115"/>
      <c r="N11" s="116"/>
    </row>
    <row r="12" spans="5:14" x14ac:dyDescent="0.3">
      <c r="E12" s="114"/>
      <c r="F12" s="115"/>
      <c r="G12" s="115"/>
      <c r="H12" s="115"/>
      <c r="I12" s="115"/>
      <c r="J12" s="115"/>
      <c r="K12" s="115"/>
      <c r="L12" s="115"/>
      <c r="M12" s="115"/>
      <c r="N12" s="116"/>
    </row>
    <row r="13" spans="5:14" x14ac:dyDescent="0.3">
      <c r="E13" s="114"/>
      <c r="F13" s="115"/>
      <c r="G13" s="115"/>
      <c r="H13" s="115"/>
      <c r="I13" s="115"/>
      <c r="J13" s="115"/>
      <c r="K13" s="115"/>
      <c r="L13" s="115"/>
      <c r="M13" s="115"/>
      <c r="N13" s="116"/>
    </row>
    <row r="14" spans="5:14" x14ac:dyDescent="0.3">
      <c r="E14" s="114"/>
      <c r="F14" s="115"/>
      <c r="G14" s="115"/>
      <c r="H14" s="115"/>
      <c r="I14" s="115"/>
      <c r="J14" s="115"/>
      <c r="K14" s="115"/>
      <c r="L14" s="115"/>
      <c r="M14" s="115"/>
      <c r="N14" s="116"/>
    </row>
    <row r="15" spans="5:14" x14ac:dyDescent="0.3">
      <c r="E15" s="114"/>
      <c r="F15" s="115"/>
      <c r="G15" s="115"/>
      <c r="H15" s="115"/>
      <c r="I15" s="115"/>
      <c r="J15" s="115"/>
      <c r="K15" s="115"/>
      <c r="L15" s="115"/>
      <c r="M15" s="115"/>
      <c r="N15" s="116"/>
    </row>
    <row r="16" spans="5:14" x14ac:dyDescent="0.3">
      <c r="E16" s="114"/>
      <c r="F16" s="115"/>
      <c r="G16" s="115"/>
      <c r="H16" s="115"/>
      <c r="I16" s="115"/>
      <c r="J16" s="115"/>
      <c r="K16" s="115"/>
      <c r="L16" s="115"/>
      <c r="M16" s="115"/>
      <c r="N16" s="116"/>
    </row>
    <row r="17" spans="5:14" x14ac:dyDescent="0.3">
      <c r="E17" s="114"/>
      <c r="F17" s="115"/>
      <c r="G17" s="115"/>
      <c r="H17" s="115"/>
      <c r="I17" s="115"/>
      <c r="J17" s="115"/>
      <c r="K17" s="115"/>
      <c r="L17" s="115"/>
      <c r="M17" s="115"/>
      <c r="N17" s="116"/>
    </row>
    <row r="18" spans="5:14" x14ac:dyDescent="0.3">
      <c r="E18" s="114"/>
      <c r="F18" s="115"/>
      <c r="G18" s="115"/>
      <c r="H18" s="115"/>
      <c r="I18" s="115"/>
      <c r="J18" s="115"/>
      <c r="K18" s="115"/>
      <c r="L18" s="115"/>
      <c r="M18" s="115"/>
      <c r="N18" s="116"/>
    </row>
    <row r="19" spans="5:14" x14ac:dyDescent="0.3">
      <c r="E19" s="114"/>
      <c r="F19" s="115"/>
      <c r="G19" s="115"/>
      <c r="H19" s="115"/>
      <c r="I19" s="115"/>
      <c r="J19" s="115"/>
      <c r="K19" s="115"/>
      <c r="L19" s="115"/>
      <c r="M19" s="115"/>
      <c r="N19" s="116"/>
    </row>
    <row r="20" spans="5:14" x14ac:dyDescent="0.3">
      <c r="E20" s="114"/>
      <c r="F20" s="115"/>
      <c r="G20" s="115"/>
      <c r="H20" s="115"/>
      <c r="I20" s="115"/>
      <c r="J20" s="115"/>
      <c r="K20" s="115"/>
      <c r="L20" s="115"/>
      <c r="M20" s="115"/>
      <c r="N20" s="116"/>
    </row>
    <row r="21" spans="5:14" x14ac:dyDescent="0.3">
      <c r="E21" s="114"/>
      <c r="F21" s="115"/>
      <c r="G21" s="115"/>
      <c r="H21" s="115"/>
      <c r="I21" s="115"/>
      <c r="J21" s="115"/>
      <c r="K21" s="115"/>
      <c r="L21" s="115"/>
      <c r="M21" s="115"/>
      <c r="N21" s="116"/>
    </row>
    <row r="22" spans="5:14" ht="15" thickBot="1" x14ac:dyDescent="0.35">
      <c r="E22" s="117"/>
      <c r="F22" s="118"/>
      <c r="G22" s="118"/>
      <c r="H22" s="118"/>
      <c r="I22" s="118"/>
      <c r="J22" s="118"/>
      <c r="K22" s="118"/>
      <c r="L22" s="118"/>
      <c r="M22" s="118"/>
      <c r="N22" s="119"/>
    </row>
  </sheetData>
  <pageMargins left="0.7" right="0.7" top="0.75" bottom="0.75" header="0.3" footer="0.3"/>
  <drawing r:id="rId1"/>
  <legacyDrawing r:id="rId2"/>
  <controls>
    <mc:AlternateContent xmlns:mc="http://schemas.openxmlformats.org/markup-compatibility/2006">
      <mc:Choice Requires="x14">
        <control shapeId="1025" r:id="rId3" name="BTNRepJoueurs">
          <controlPr defaultSize="0" autoLine="0" autoPict="0" r:id="rId4">
            <anchor moveWithCells="1">
              <from>
                <xdr:col>7</xdr:col>
                <xdr:colOff>228600</xdr:colOff>
                <xdr:row>7</xdr:row>
                <xdr:rowOff>114300</xdr:rowOff>
              </from>
              <to>
                <xdr:col>10</xdr:col>
                <xdr:colOff>182880</xdr:colOff>
                <xdr:row>10</xdr:row>
                <xdr:rowOff>144780</xdr:rowOff>
              </to>
            </anchor>
          </controlPr>
        </control>
      </mc:Choice>
      <mc:Fallback>
        <control shapeId="1025" r:id="rId3" name="BTNRepJoueurs"/>
      </mc:Fallback>
    </mc:AlternateContent>
    <mc:AlternateContent xmlns:mc="http://schemas.openxmlformats.org/markup-compatibility/2006">
      <mc:Choice Requires="x14">
        <control shapeId="1026" r:id="rId5" name="BTNGenClass">
          <controlPr defaultSize="0" autoLine="0" autoPict="0" r:id="rId6">
            <anchor moveWithCells="1">
              <from>
                <xdr:col>7</xdr:col>
                <xdr:colOff>228600</xdr:colOff>
                <xdr:row>11</xdr:row>
                <xdr:rowOff>121920</xdr:rowOff>
              </from>
              <to>
                <xdr:col>10</xdr:col>
                <xdr:colOff>182880</xdr:colOff>
                <xdr:row>14</xdr:row>
                <xdr:rowOff>137160</xdr:rowOff>
              </to>
            </anchor>
          </controlPr>
        </control>
      </mc:Choice>
      <mc:Fallback>
        <control shapeId="1026" r:id="rId5" name="BTNGenClass"/>
      </mc:Fallback>
    </mc:AlternateContent>
    <mc:AlternateContent xmlns:mc="http://schemas.openxmlformats.org/markup-compatibility/2006">
      <mc:Choice Requires="x14">
        <control shapeId="1027" r:id="rId7" name="BTNTabBord">
          <controlPr defaultSize="0" autoLine="0" autoPict="0" r:id="rId8">
            <anchor moveWithCells="1">
              <from>
                <xdr:col>7</xdr:col>
                <xdr:colOff>213360</xdr:colOff>
                <xdr:row>15</xdr:row>
                <xdr:rowOff>152400</xdr:rowOff>
              </from>
              <to>
                <xdr:col>10</xdr:col>
                <xdr:colOff>175260</xdr:colOff>
                <xdr:row>19</xdr:row>
                <xdr:rowOff>0</xdr:rowOff>
              </to>
            </anchor>
          </controlPr>
        </control>
      </mc:Choice>
      <mc:Fallback>
        <control shapeId="1027" r:id="rId7" name="BTNTabBor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9028A-BD18-455D-8B2E-D4C6B3B8903D}">
  <sheetPr codeName="Feuil6"/>
  <dimension ref="A1:Y37"/>
  <sheetViews>
    <sheetView topLeftCell="A6" zoomScale="85" zoomScaleNormal="85" workbookViewId="0">
      <selection activeCell="T37" sqref="T37"/>
    </sheetView>
  </sheetViews>
  <sheetFormatPr baseColWidth="10" defaultColWidth="11.44140625" defaultRowHeight="14.4" x14ac:dyDescent="0.3"/>
  <cols>
    <col min="1" max="1" width="4.33203125" style="21" customWidth="1"/>
    <col min="2" max="2" width="22.88671875" style="21" customWidth="1"/>
    <col min="3" max="3" width="26.33203125" style="21" customWidth="1"/>
    <col min="4" max="4" width="23.44140625" style="21" customWidth="1"/>
    <col min="5" max="5" width="20.44140625" style="21" customWidth="1"/>
    <col min="6" max="6" width="22.88671875" style="21" customWidth="1"/>
    <col min="7" max="7" width="10.5546875" style="21" customWidth="1"/>
    <col min="8" max="8" width="12.44140625" style="21" customWidth="1"/>
    <col min="9" max="9" width="12.88671875" style="21" customWidth="1"/>
    <col min="10" max="10" width="19.33203125" style="21" bestFit="1" customWidth="1"/>
    <col min="11" max="11" width="11.44140625" style="21"/>
    <col min="12" max="12" width="10.88671875" style="21" customWidth="1"/>
    <col min="13" max="13" width="10.6640625" style="21" customWidth="1"/>
    <col min="14" max="14" width="13.5546875" style="21" bestFit="1" customWidth="1"/>
    <col min="15" max="15" width="4.5546875" style="21" customWidth="1"/>
    <col min="16" max="17" width="11.44140625" style="21"/>
    <col min="18" max="18" width="7.5546875" style="21" bestFit="1" customWidth="1"/>
    <col min="19" max="19" width="17" style="21" bestFit="1" customWidth="1"/>
    <col min="20" max="20" width="19.88671875" style="21" bestFit="1" customWidth="1"/>
    <col min="21" max="21" width="15.88671875" style="21" bestFit="1" customWidth="1"/>
    <col min="22" max="16384" width="11.44140625" style="21"/>
  </cols>
  <sheetData>
    <row r="1" spans="1:25" ht="15" thickBot="1" x14ac:dyDescent="0.35"/>
    <row r="2" spans="1:25" ht="15" customHeight="1" thickTop="1" x14ac:dyDescent="0.3">
      <c r="E2" s="120" t="s">
        <v>191</v>
      </c>
      <c r="F2" s="121"/>
      <c r="G2" s="121"/>
      <c r="H2" s="121"/>
      <c r="I2" s="121"/>
      <c r="J2" s="122"/>
    </row>
    <row r="3" spans="1:25" ht="14.4" customHeight="1" x14ac:dyDescent="0.3">
      <c r="E3" s="123"/>
      <c r="F3" s="124"/>
      <c r="G3" s="124"/>
      <c r="H3" s="124"/>
      <c r="I3" s="124"/>
      <c r="J3" s="125"/>
    </row>
    <row r="4" spans="1:25" ht="15" customHeight="1" thickBot="1" x14ac:dyDescent="0.35">
      <c r="E4" s="126"/>
      <c r="F4" s="127"/>
      <c r="G4" s="127"/>
      <c r="H4" s="127"/>
      <c r="I4" s="127"/>
      <c r="J4" s="128"/>
    </row>
    <row r="5" spans="1:25" ht="15.6" thickTop="1" thickBot="1" x14ac:dyDescent="0.35"/>
    <row r="6" spans="1:25" s="66" customFormat="1" ht="48.75" customHeight="1" thickTop="1" thickBot="1" x14ac:dyDescent="0.35">
      <c r="C6" s="79" t="s">
        <v>192</v>
      </c>
      <c r="D6" s="67"/>
      <c r="E6" s="67"/>
      <c r="F6" s="67"/>
      <c r="G6" s="67"/>
      <c r="H6" s="67"/>
      <c r="I6" s="67"/>
      <c r="J6" s="67"/>
      <c r="K6" s="67"/>
      <c r="L6" s="68"/>
      <c r="Q6" s="88"/>
      <c r="R6" s="89" t="s">
        <v>2</v>
      </c>
      <c r="S6" s="90"/>
    </row>
    <row r="7" spans="1:25" x14ac:dyDescent="0.3">
      <c r="Q7" s="91"/>
      <c r="R7" s="65"/>
      <c r="S7" s="92"/>
    </row>
    <row r="8" spans="1:25" ht="15" thickBot="1" x14ac:dyDescent="0.35">
      <c r="Q8" s="91"/>
      <c r="R8" s="65"/>
      <c r="S8" s="92"/>
    </row>
    <row r="9" spans="1:25" x14ac:dyDescent="0.3">
      <c r="C9" s="69"/>
      <c r="D9" s="77" t="s">
        <v>193</v>
      </c>
      <c r="E9" s="77"/>
      <c r="F9" s="70"/>
      <c r="G9" s="70"/>
      <c r="H9" s="70"/>
      <c r="I9" s="78" t="s">
        <v>194</v>
      </c>
      <c r="J9" s="70"/>
      <c r="K9" s="70"/>
      <c r="L9" s="71"/>
      <c r="Q9" s="91"/>
      <c r="R9" s="65"/>
      <c r="S9" s="92"/>
    </row>
    <row r="10" spans="1:25" ht="29.25" customHeight="1" x14ac:dyDescent="0.3">
      <c r="C10" s="72"/>
      <c r="D10" s="65"/>
      <c r="E10" s="65"/>
      <c r="F10" s="65"/>
      <c r="G10" s="65"/>
      <c r="H10" s="65"/>
      <c r="I10" s="65"/>
      <c r="J10" s="65"/>
      <c r="K10" s="65"/>
      <c r="L10" s="73"/>
      <c r="Q10" s="91"/>
      <c r="R10" s="65"/>
      <c r="S10" s="92"/>
    </row>
    <row r="11" spans="1:25" ht="24.75" customHeight="1" thickBot="1" x14ac:dyDescent="0.35">
      <c r="C11" s="74"/>
      <c r="D11" s="75"/>
      <c r="E11" s="75"/>
      <c r="F11" s="75"/>
      <c r="G11" s="75"/>
      <c r="H11" s="75"/>
      <c r="I11" s="75"/>
      <c r="J11" s="75"/>
      <c r="K11" s="75"/>
      <c r="L11" s="76"/>
      <c r="Q11" s="93"/>
      <c r="R11" s="94"/>
      <c r="S11" s="95"/>
    </row>
    <row r="12" spans="1:25" ht="93.75" customHeight="1" thickBot="1" x14ac:dyDescent="0.35"/>
    <row r="13" spans="1:25" ht="15.6" thickTop="1" thickBot="1" x14ac:dyDescent="0.35">
      <c r="A13" s="45"/>
      <c r="B13" s="46"/>
      <c r="C13" s="46"/>
      <c r="D13" s="46"/>
      <c r="E13" s="46"/>
      <c r="F13" s="46"/>
      <c r="G13" s="47"/>
      <c r="I13" s="55"/>
      <c r="J13" s="46"/>
      <c r="K13" s="46"/>
      <c r="L13" s="46"/>
      <c r="M13" s="46"/>
      <c r="N13" s="46"/>
      <c r="O13" s="47"/>
      <c r="Q13" s="80"/>
      <c r="R13" s="81"/>
      <c r="S13" s="81"/>
      <c r="T13" s="81"/>
      <c r="U13" s="81"/>
      <c r="V13" s="81"/>
      <c r="W13" s="81"/>
      <c r="X13" s="81"/>
      <c r="Y13" s="82"/>
    </row>
    <row r="14" spans="1:25" ht="51.6" customHeight="1" thickTop="1" thickBot="1" x14ac:dyDescent="0.35">
      <c r="A14" s="48"/>
      <c r="B14" s="49" t="s">
        <v>160</v>
      </c>
      <c r="C14" s="39" t="s">
        <v>28</v>
      </c>
      <c r="D14" s="40" t="s">
        <v>162</v>
      </c>
      <c r="E14" s="40" t="s">
        <v>161</v>
      </c>
      <c r="F14" s="41" t="s">
        <v>163</v>
      </c>
      <c r="G14" s="50"/>
      <c r="I14" s="56"/>
      <c r="J14" s="57" t="s">
        <v>178</v>
      </c>
      <c r="K14" s="30" t="s">
        <v>28</v>
      </c>
      <c r="L14" s="31" t="s">
        <v>162</v>
      </c>
      <c r="M14" s="31" t="s">
        <v>161</v>
      </c>
      <c r="N14" s="32" t="s">
        <v>163</v>
      </c>
      <c r="O14" s="50"/>
      <c r="Q14" s="83"/>
      <c r="R14" s="65"/>
      <c r="S14" s="65"/>
      <c r="T14" s="65"/>
      <c r="U14" s="65"/>
      <c r="V14" s="65"/>
      <c r="W14" s="65"/>
      <c r="X14" s="65"/>
      <c r="Y14" s="84"/>
    </row>
    <row r="15" spans="1:25" ht="15.6" thickTop="1" thickBot="1" x14ac:dyDescent="0.35">
      <c r="A15" s="48"/>
      <c r="B15" s="51" t="s">
        <v>164</v>
      </c>
      <c r="C15" s="22">
        <v>9</v>
      </c>
      <c r="D15" s="23">
        <v>4</v>
      </c>
      <c r="E15" s="23">
        <v>43</v>
      </c>
      <c r="F15" s="24">
        <f>SUM(C15:E15)</f>
        <v>56</v>
      </c>
      <c r="G15" s="50"/>
      <c r="I15" s="56"/>
      <c r="J15" s="106"/>
      <c r="O15" s="50"/>
      <c r="Q15" s="83"/>
      <c r="R15" s="65"/>
      <c r="S15" s="65"/>
      <c r="T15" s="65"/>
      <c r="U15" s="65"/>
      <c r="V15" s="65"/>
      <c r="W15" s="65"/>
      <c r="X15" s="65"/>
      <c r="Y15" s="84"/>
    </row>
    <row r="16" spans="1:25" ht="15" thickTop="1" x14ac:dyDescent="0.3">
      <c r="A16" s="48"/>
      <c r="B16" s="51"/>
      <c r="G16" s="50"/>
      <c r="I16" s="56"/>
      <c r="J16" s="33" t="s">
        <v>179</v>
      </c>
      <c r="K16" s="43">
        <v>43.67</v>
      </c>
      <c r="L16" s="25">
        <v>41.45</v>
      </c>
      <c r="M16" s="25">
        <v>58.12</v>
      </c>
      <c r="N16" s="61">
        <f>AVERAGE(K16:M16)</f>
        <v>47.74666666666667</v>
      </c>
      <c r="O16" s="50"/>
      <c r="Q16" s="83"/>
      <c r="R16" s="65"/>
      <c r="S16" s="65"/>
      <c r="T16" s="65"/>
      <c r="U16" s="65"/>
      <c r="V16" s="65"/>
      <c r="W16" s="65"/>
      <c r="X16" s="65"/>
      <c r="Y16" s="84"/>
    </row>
    <row r="17" spans="1:25" ht="15" thickBot="1" x14ac:dyDescent="0.35">
      <c r="A17" s="48"/>
      <c r="B17" s="51" t="s">
        <v>165</v>
      </c>
      <c r="G17" s="50"/>
      <c r="I17" s="56"/>
      <c r="J17" s="34" t="s">
        <v>180</v>
      </c>
      <c r="K17" s="44">
        <v>23.89</v>
      </c>
      <c r="L17" s="21">
        <v>57.19</v>
      </c>
      <c r="M17" s="21">
        <v>52.98</v>
      </c>
      <c r="N17" s="62">
        <f>AVERAGE(K17:M17)</f>
        <v>44.686666666666667</v>
      </c>
      <c r="O17" s="50"/>
      <c r="Q17" s="83"/>
      <c r="R17" s="65"/>
      <c r="S17" s="65"/>
      <c r="T17" s="65"/>
      <c r="U17" s="65"/>
      <c r="V17" s="65"/>
      <c r="W17" s="65"/>
      <c r="X17" s="65"/>
      <c r="Y17" s="84"/>
    </row>
    <row r="18" spans="1:25" ht="15" thickTop="1" x14ac:dyDescent="0.3">
      <c r="A18" s="48"/>
      <c r="B18" s="59" t="s">
        <v>166</v>
      </c>
      <c r="C18" s="43">
        <v>8</v>
      </c>
      <c r="D18" s="25">
        <v>4</v>
      </c>
      <c r="E18" s="25">
        <v>32</v>
      </c>
      <c r="F18" s="26">
        <f>SUM(C18:E18)</f>
        <v>44</v>
      </c>
      <c r="G18" s="50"/>
      <c r="I18" s="56"/>
      <c r="J18" s="34" t="s">
        <v>181</v>
      </c>
      <c r="K18" s="44"/>
      <c r="L18" s="21">
        <v>61.66</v>
      </c>
      <c r="M18" s="21">
        <v>55.47</v>
      </c>
      <c r="N18" s="62">
        <f>AVERAGE(L18:M18)</f>
        <v>58.564999999999998</v>
      </c>
      <c r="O18" s="50"/>
      <c r="Q18" s="83"/>
      <c r="R18" s="65"/>
      <c r="S18" s="65"/>
      <c r="T18" s="65"/>
      <c r="U18" s="65"/>
      <c r="V18" s="65"/>
      <c r="W18" s="65"/>
      <c r="X18" s="65"/>
      <c r="Y18" s="84"/>
    </row>
    <row r="19" spans="1:25" ht="15" thickBot="1" x14ac:dyDescent="0.35">
      <c r="A19" s="48"/>
      <c r="B19" s="60" t="s">
        <v>167</v>
      </c>
      <c r="C19" s="42">
        <v>1</v>
      </c>
      <c r="D19" s="27">
        <v>0</v>
      </c>
      <c r="E19" s="27">
        <v>11</v>
      </c>
      <c r="F19" s="28">
        <f>SUM(C19:E19)</f>
        <v>12</v>
      </c>
      <c r="G19" s="50"/>
      <c r="I19" s="56"/>
      <c r="J19" s="35" t="s">
        <v>182</v>
      </c>
      <c r="K19" s="42">
        <v>31</v>
      </c>
      <c r="L19" s="27">
        <v>46.5</v>
      </c>
      <c r="M19" s="27">
        <v>47.19</v>
      </c>
      <c r="N19" s="63">
        <f>AVERAGE(K19:M19)</f>
        <v>41.563333333333333</v>
      </c>
      <c r="O19" s="50"/>
      <c r="Q19" s="83"/>
      <c r="R19" s="65"/>
      <c r="S19" s="65"/>
      <c r="T19" s="65"/>
      <c r="U19" s="65"/>
      <c r="V19" s="65"/>
      <c r="W19" s="65"/>
      <c r="X19" s="65"/>
      <c r="Y19" s="84"/>
    </row>
    <row r="20" spans="1:25" ht="15" thickTop="1" x14ac:dyDescent="0.3">
      <c r="A20" s="48"/>
      <c r="B20" s="51"/>
      <c r="G20" s="50"/>
      <c r="I20" s="56"/>
      <c r="J20" s="58"/>
      <c r="N20" s="64"/>
      <c r="O20" s="50"/>
      <c r="Q20" s="83"/>
      <c r="R20" s="65"/>
      <c r="S20" s="65"/>
      <c r="T20" s="65"/>
      <c r="U20" s="65"/>
      <c r="V20" s="65"/>
      <c r="W20" s="65"/>
      <c r="X20" s="65"/>
      <c r="Y20" s="84"/>
    </row>
    <row r="21" spans="1:25" ht="15" thickBot="1" x14ac:dyDescent="0.35">
      <c r="A21" s="48"/>
      <c r="B21" s="51" t="s">
        <v>168</v>
      </c>
      <c r="G21" s="50"/>
      <c r="I21" s="56"/>
      <c r="J21" s="58" t="s">
        <v>183</v>
      </c>
      <c r="N21" s="64"/>
      <c r="O21" s="50"/>
      <c r="Q21" s="83"/>
      <c r="R21" s="65"/>
      <c r="S21" s="65"/>
      <c r="T21" s="65"/>
      <c r="U21" s="65"/>
      <c r="V21" s="65"/>
      <c r="W21" s="65"/>
      <c r="X21" s="65"/>
      <c r="Y21" s="84"/>
    </row>
    <row r="22" spans="1:25" ht="15.6" thickTop="1" thickBot="1" x14ac:dyDescent="0.35">
      <c r="A22" s="48"/>
      <c r="B22" s="36" t="s">
        <v>169</v>
      </c>
      <c r="C22" s="43">
        <v>7</v>
      </c>
      <c r="D22" s="25">
        <v>4</v>
      </c>
      <c r="E22" s="25">
        <v>38</v>
      </c>
      <c r="F22" s="26">
        <f>SUM(C22:E22)</f>
        <v>49</v>
      </c>
      <c r="G22" s="50"/>
      <c r="I22" s="56"/>
      <c r="J22" s="58" t="s">
        <v>9</v>
      </c>
      <c r="N22" s="64"/>
      <c r="O22" s="50"/>
      <c r="Q22" s="83"/>
      <c r="R22" s="65"/>
      <c r="S22" s="65"/>
      <c r="T22" s="65"/>
      <c r="U22" s="65"/>
      <c r="V22" s="65"/>
      <c r="W22" s="65"/>
      <c r="X22" s="65"/>
      <c r="Y22" s="84"/>
    </row>
    <row r="23" spans="1:25" ht="15.6" thickTop="1" thickBot="1" x14ac:dyDescent="0.35">
      <c r="A23" s="48"/>
      <c r="B23" s="37" t="s">
        <v>170</v>
      </c>
      <c r="C23" s="42">
        <v>2</v>
      </c>
      <c r="D23" s="27">
        <v>0</v>
      </c>
      <c r="E23" s="27">
        <v>5</v>
      </c>
      <c r="F23" s="28">
        <f>SUM(C23:E23)</f>
        <v>7</v>
      </c>
      <c r="G23" s="50"/>
      <c r="I23" s="56"/>
      <c r="J23" s="33" t="s">
        <v>10</v>
      </c>
      <c r="K23" s="43">
        <v>1.89</v>
      </c>
      <c r="L23" s="25">
        <v>1.97</v>
      </c>
      <c r="M23" s="25">
        <v>1.87</v>
      </c>
      <c r="N23" s="61">
        <f>AVERAGE(K23:M23)</f>
        <v>1.9100000000000001</v>
      </c>
      <c r="O23" s="50"/>
      <c r="Q23" s="83"/>
      <c r="R23" s="65"/>
      <c r="S23" s="65"/>
      <c r="T23" s="65"/>
      <c r="U23" s="65"/>
      <c r="V23" s="65"/>
      <c r="W23" s="65"/>
      <c r="X23" s="65"/>
      <c r="Y23" s="84"/>
    </row>
    <row r="24" spans="1:25" ht="15" thickTop="1" x14ac:dyDescent="0.3">
      <c r="A24" s="48"/>
      <c r="B24" s="51"/>
      <c r="G24" s="50"/>
      <c r="I24" s="56"/>
      <c r="J24" s="34" t="s">
        <v>11</v>
      </c>
      <c r="K24" s="44">
        <v>1.89</v>
      </c>
      <c r="L24" s="21">
        <v>1.92</v>
      </c>
      <c r="M24" s="21">
        <v>1.92</v>
      </c>
      <c r="N24" s="62">
        <f>AVERAGE(K24:M24)</f>
        <v>1.91</v>
      </c>
      <c r="O24" s="50"/>
      <c r="Q24" s="83"/>
      <c r="R24" s="65"/>
      <c r="S24" s="65"/>
      <c r="T24" s="65"/>
      <c r="U24" s="65"/>
      <c r="V24" s="65"/>
      <c r="W24" s="65"/>
      <c r="X24" s="65"/>
      <c r="Y24" s="84"/>
    </row>
    <row r="25" spans="1:25" ht="15" thickBot="1" x14ac:dyDescent="0.35">
      <c r="A25" s="48"/>
      <c r="B25" s="51" t="s">
        <v>171</v>
      </c>
      <c r="G25" s="50"/>
      <c r="I25" s="56"/>
      <c r="J25" s="35" t="s">
        <v>184</v>
      </c>
      <c r="K25" s="42">
        <v>6.44</v>
      </c>
      <c r="L25" s="27">
        <v>4</v>
      </c>
      <c r="M25" s="27">
        <v>7.02</v>
      </c>
      <c r="N25" s="63">
        <f>AVERAGE(K25:M25)</f>
        <v>5.82</v>
      </c>
      <c r="O25" s="50"/>
      <c r="Q25" s="83"/>
      <c r="R25" s="65"/>
      <c r="S25" s="65"/>
      <c r="T25" s="65"/>
      <c r="U25" s="65"/>
      <c r="V25" s="65"/>
      <c r="W25" s="65"/>
      <c r="X25" s="65"/>
      <c r="Y25" s="84"/>
    </row>
    <row r="26" spans="1:25" ht="15.6" thickTop="1" thickBot="1" x14ac:dyDescent="0.35">
      <c r="A26" s="48"/>
      <c r="B26" s="36" t="s">
        <v>213</v>
      </c>
      <c r="C26" s="25">
        <v>1</v>
      </c>
      <c r="D26" s="25">
        <v>0</v>
      </c>
      <c r="E26" s="25"/>
      <c r="F26" s="26">
        <f>SUM(C26:E26)</f>
        <v>1</v>
      </c>
      <c r="G26" s="50"/>
      <c r="I26" s="56"/>
      <c r="J26" s="58" t="s">
        <v>12</v>
      </c>
      <c r="N26" s="64"/>
      <c r="O26" s="50"/>
      <c r="Q26" s="83"/>
      <c r="R26" s="65"/>
      <c r="S26" s="65"/>
      <c r="T26" s="65"/>
      <c r="U26" s="65"/>
      <c r="V26" s="65"/>
      <c r="W26" s="65"/>
      <c r="X26" s="65"/>
      <c r="Y26" s="84"/>
    </row>
    <row r="27" spans="1:25" ht="15" thickTop="1" x14ac:dyDescent="0.3">
      <c r="A27" s="48"/>
      <c r="B27" s="38" t="s">
        <v>214</v>
      </c>
      <c r="C27" s="21">
        <v>2</v>
      </c>
      <c r="D27" s="21">
        <v>4</v>
      </c>
      <c r="F27" s="29">
        <f t="shared" ref="F27:F29" si="0">SUM(C27:E27)</f>
        <v>6</v>
      </c>
      <c r="G27" s="50"/>
      <c r="I27" s="56"/>
      <c r="J27" s="33" t="s">
        <v>10</v>
      </c>
      <c r="K27" s="43">
        <v>6.19</v>
      </c>
      <c r="L27" s="25">
        <v>6.06</v>
      </c>
      <c r="M27" s="25">
        <v>5.99</v>
      </c>
      <c r="N27" s="61">
        <f>AVERAGE(K27:M27)</f>
        <v>6.080000000000001</v>
      </c>
      <c r="O27" s="50"/>
      <c r="Q27" s="83"/>
      <c r="R27" s="65"/>
      <c r="S27" s="65"/>
      <c r="T27" s="65"/>
      <c r="U27" s="65"/>
      <c r="V27" s="65"/>
      <c r="W27" s="65"/>
      <c r="X27" s="65"/>
      <c r="Y27" s="84"/>
    </row>
    <row r="28" spans="1:25" x14ac:dyDescent="0.3">
      <c r="A28" s="48"/>
      <c r="B28" s="38" t="s">
        <v>215</v>
      </c>
      <c r="C28" s="21">
        <v>6</v>
      </c>
      <c r="E28" s="21">
        <v>43</v>
      </c>
      <c r="F28" s="29">
        <f t="shared" si="0"/>
        <v>49</v>
      </c>
      <c r="G28" s="50"/>
      <c r="I28" s="56"/>
      <c r="J28" s="34" t="s">
        <v>11</v>
      </c>
      <c r="K28" s="44">
        <v>5.91</v>
      </c>
      <c r="L28" s="21">
        <v>6.13</v>
      </c>
      <c r="M28" s="21">
        <v>5.96</v>
      </c>
      <c r="N28" s="62">
        <f>AVERAGE(K28:M28)</f>
        <v>6</v>
      </c>
      <c r="O28" s="50"/>
      <c r="Q28" s="83"/>
      <c r="R28" s="65"/>
      <c r="S28" s="65"/>
      <c r="T28" s="65"/>
      <c r="U28" s="65"/>
      <c r="V28" s="65"/>
      <c r="W28" s="65"/>
      <c r="X28" s="65"/>
      <c r="Y28" s="84"/>
    </row>
    <row r="29" spans="1:25" ht="15" thickBot="1" x14ac:dyDescent="0.35">
      <c r="A29" s="48"/>
      <c r="B29" s="37" t="s">
        <v>216</v>
      </c>
      <c r="C29" s="27">
        <v>0</v>
      </c>
      <c r="D29" s="27"/>
      <c r="E29" s="27">
        <v>0</v>
      </c>
      <c r="F29" s="28">
        <f t="shared" si="0"/>
        <v>0</v>
      </c>
      <c r="G29" s="50"/>
      <c r="I29" s="56"/>
      <c r="J29" s="35" t="s">
        <v>185</v>
      </c>
      <c r="K29" s="42">
        <v>10.220000000000001</v>
      </c>
      <c r="L29" s="27">
        <v>9.5</v>
      </c>
      <c r="M29" s="27">
        <v>12.42</v>
      </c>
      <c r="N29" s="63">
        <f>AVERAGE(K29:M29)</f>
        <v>10.713333333333333</v>
      </c>
      <c r="O29" s="50"/>
      <c r="Q29" s="83"/>
      <c r="R29" s="65"/>
      <c r="S29" s="65"/>
      <c r="T29" s="65"/>
      <c r="U29" s="65"/>
      <c r="V29" s="65"/>
      <c r="W29" s="65"/>
      <c r="X29" s="65"/>
      <c r="Y29" s="84"/>
    </row>
    <row r="30" spans="1:25" ht="15.6" thickTop="1" thickBot="1" x14ac:dyDescent="0.35">
      <c r="A30" s="48"/>
      <c r="B30" s="51"/>
      <c r="G30" s="50"/>
      <c r="I30" s="56"/>
      <c r="J30" s="58"/>
      <c r="N30" s="64"/>
      <c r="O30" s="50"/>
      <c r="Q30" s="83"/>
      <c r="R30" s="65"/>
      <c r="S30" s="65"/>
      <c r="T30" s="65"/>
      <c r="U30" s="65"/>
      <c r="V30" s="65"/>
      <c r="W30" s="65"/>
      <c r="X30" s="65"/>
      <c r="Y30" s="84"/>
    </row>
    <row r="31" spans="1:25" ht="15.6" thickTop="1" thickBot="1" x14ac:dyDescent="0.35">
      <c r="A31" s="48"/>
      <c r="B31" s="51" t="s">
        <v>172</v>
      </c>
      <c r="G31" s="50"/>
      <c r="I31" s="56"/>
      <c r="J31" s="33" t="s">
        <v>20</v>
      </c>
      <c r="K31" s="25"/>
      <c r="L31" s="25">
        <v>887.5</v>
      </c>
      <c r="M31" s="25">
        <v>720.23</v>
      </c>
      <c r="N31" s="61">
        <f>AVERAGE(L31:M31)</f>
        <v>803.86500000000001</v>
      </c>
      <c r="O31" s="50"/>
      <c r="Q31" s="83"/>
      <c r="R31" s="65"/>
      <c r="S31" s="65"/>
      <c r="T31" s="65"/>
      <c r="U31" s="65"/>
      <c r="V31" s="65"/>
      <c r="W31" s="65"/>
      <c r="X31" s="65"/>
      <c r="Y31" s="84"/>
    </row>
    <row r="32" spans="1:25" ht="15" thickTop="1" x14ac:dyDescent="0.3">
      <c r="A32" s="48"/>
      <c r="B32" s="36" t="s">
        <v>173</v>
      </c>
      <c r="C32" s="43">
        <v>2</v>
      </c>
      <c r="D32" s="25">
        <v>2</v>
      </c>
      <c r="E32" s="25">
        <v>14</v>
      </c>
      <c r="F32" s="26">
        <f>SUM(C32:E32)</f>
        <v>18</v>
      </c>
      <c r="G32" s="50"/>
      <c r="I32" s="56"/>
      <c r="J32" s="34" t="s">
        <v>186</v>
      </c>
      <c r="L32" s="21">
        <v>10.81</v>
      </c>
      <c r="M32" s="21">
        <v>8.99</v>
      </c>
      <c r="N32" s="62">
        <f>AVERAGE(L32:M32)</f>
        <v>9.9</v>
      </c>
      <c r="O32" s="50"/>
      <c r="Q32" s="83"/>
      <c r="R32" s="65"/>
      <c r="S32" s="65"/>
      <c r="T32" s="65"/>
      <c r="U32" s="65" t="s">
        <v>195</v>
      </c>
      <c r="V32" s="65"/>
      <c r="W32" s="65"/>
      <c r="X32" s="65"/>
      <c r="Y32" s="84"/>
    </row>
    <row r="33" spans="1:25" ht="15" thickBot="1" x14ac:dyDescent="0.35">
      <c r="A33" s="48"/>
      <c r="B33" s="38" t="s">
        <v>174</v>
      </c>
      <c r="C33" s="44">
        <v>4</v>
      </c>
      <c r="D33" s="21">
        <v>0</v>
      </c>
      <c r="E33" s="21">
        <v>10</v>
      </c>
      <c r="F33" s="29">
        <f t="shared" ref="F33:F36" si="1">SUM(C33:E33)</f>
        <v>14</v>
      </c>
      <c r="G33" s="50"/>
      <c r="I33" s="56"/>
      <c r="J33" s="34" t="s">
        <v>187</v>
      </c>
      <c r="K33" s="21">
        <v>88</v>
      </c>
      <c r="N33" s="62">
        <f>AVERAGE(K33:M33)</f>
        <v>88</v>
      </c>
      <c r="O33" s="50"/>
      <c r="Q33" s="85"/>
      <c r="R33" s="86"/>
      <c r="S33" s="86"/>
      <c r="T33" s="86"/>
      <c r="U33" s="86"/>
      <c r="V33" s="86"/>
      <c r="W33" s="86"/>
      <c r="X33" s="86"/>
      <c r="Y33" s="87"/>
    </row>
    <row r="34" spans="1:25" ht="15" thickTop="1" x14ac:dyDescent="0.3">
      <c r="A34" s="48"/>
      <c r="B34" s="38" t="s">
        <v>175</v>
      </c>
      <c r="C34" s="44">
        <v>1</v>
      </c>
      <c r="D34" s="21">
        <v>1</v>
      </c>
      <c r="E34" s="21">
        <v>9</v>
      </c>
      <c r="F34" s="29">
        <f t="shared" si="1"/>
        <v>11</v>
      </c>
      <c r="G34" s="50"/>
      <c r="I34" s="56"/>
      <c r="J34" s="34" t="s">
        <v>188</v>
      </c>
      <c r="L34" s="21">
        <v>19.75</v>
      </c>
      <c r="M34" s="21">
        <v>29.3</v>
      </c>
      <c r="N34" s="62">
        <f>AVERAGE(L34:M34)</f>
        <v>24.524999999999999</v>
      </c>
      <c r="O34" s="50"/>
    </row>
    <row r="35" spans="1:25" ht="15" thickBot="1" x14ac:dyDescent="0.35">
      <c r="A35" s="48"/>
      <c r="B35" s="38" t="s">
        <v>176</v>
      </c>
      <c r="C35" s="44">
        <v>2</v>
      </c>
      <c r="D35" s="21">
        <v>1</v>
      </c>
      <c r="E35" s="21">
        <v>8</v>
      </c>
      <c r="F35" s="29">
        <f t="shared" si="1"/>
        <v>11</v>
      </c>
      <c r="G35" s="50"/>
      <c r="I35" s="56"/>
      <c r="J35" s="35" t="s">
        <v>189</v>
      </c>
      <c r="K35" s="27">
        <v>29.44</v>
      </c>
      <c r="L35" s="27">
        <v>47.25</v>
      </c>
      <c r="M35" s="27">
        <v>57.65</v>
      </c>
      <c r="N35" s="63">
        <f>AVERAGE(K35:M35)</f>
        <v>44.78</v>
      </c>
      <c r="O35" s="50"/>
    </row>
    <row r="36" spans="1:25" ht="15.6" thickTop="1" thickBot="1" x14ac:dyDescent="0.35">
      <c r="A36" s="48"/>
      <c r="B36" s="37" t="s">
        <v>177</v>
      </c>
      <c r="C36" s="42">
        <v>0</v>
      </c>
      <c r="D36" s="27">
        <v>0</v>
      </c>
      <c r="E36" s="27">
        <v>2</v>
      </c>
      <c r="F36" s="28">
        <f t="shared" si="1"/>
        <v>2</v>
      </c>
      <c r="G36" s="50"/>
      <c r="I36" s="56"/>
      <c r="J36" s="58" t="s">
        <v>190</v>
      </c>
      <c r="K36" s="21">
        <v>165.11</v>
      </c>
      <c r="L36" s="21">
        <v>137.81</v>
      </c>
      <c r="M36" s="21">
        <v>162.57</v>
      </c>
      <c r="N36" s="64">
        <f>AVERAGE(K36:M36)</f>
        <v>155.16333333333333</v>
      </c>
      <c r="O36" s="50"/>
    </row>
    <row r="37" spans="1:25" ht="15.6" thickTop="1" thickBot="1" x14ac:dyDescent="0.35">
      <c r="A37" s="52"/>
      <c r="B37" s="53"/>
      <c r="C37" s="53"/>
      <c r="D37" s="53"/>
      <c r="E37" s="53"/>
      <c r="F37" s="53"/>
      <c r="G37" s="54"/>
      <c r="I37" s="52"/>
      <c r="J37" s="53"/>
      <c r="K37" s="53"/>
      <c r="L37" s="53"/>
      <c r="M37" s="53"/>
      <c r="N37" s="53"/>
      <c r="O37" s="54"/>
    </row>
  </sheetData>
  <mergeCells count="1">
    <mergeCell ref="E2:J4"/>
  </mergeCells>
  <phoneticPr fontId="14" type="noConversion"/>
  <pageMargins left="0.7" right="0.7" top="0.75" bottom="0.75" header="0.3" footer="0.3"/>
  <ignoredErrors>
    <ignoredError sqref="F26:F29" formulaRange="1"/>
  </ignoredErrors>
  <drawing r:id="rId1"/>
  <legacyDrawing r:id="rId2"/>
  <controls>
    <mc:AlternateContent xmlns:mc="http://schemas.openxmlformats.org/markup-compatibility/2006">
      <mc:Choice Requires="x14">
        <control shapeId="6150" r:id="rId3" name="BTNcompJ">
          <controlPr defaultSize="0" autoLine="0" r:id="rId4">
            <anchor moveWithCells="1">
              <from>
                <xdr:col>4</xdr:col>
                <xdr:colOff>914400</xdr:colOff>
                <xdr:row>8</xdr:row>
                <xdr:rowOff>144780</xdr:rowOff>
              </from>
              <to>
                <xdr:col>6</xdr:col>
                <xdr:colOff>457200</xdr:colOff>
                <xdr:row>10</xdr:row>
                <xdr:rowOff>83820</xdr:rowOff>
              </to>
            </anchor>
          </controlPr>
        </control>
      </mc:Choice>
      <mc:Fallback>
        <control shapeId="6150" r:id="rId3" name="BTNcompJ"/>
      </mc:Fallback>
    </mc:AlternateContent>
    <mc:AlternateContent xmlns:mc="http://schemas.openxmlformats.org/markup-compatibility/2006">
      <mc:Choice Requires="x14">
        <control shapeId="6149" r:id="rId5" name="LSTClub">
          <controlPr defaultSize="0" autoLine="0" r:id="rId6">
            <anchor moveWithCells="1">
              <from>
                <xdr:col>16</xdr:col>
                <xdr:colOff>335280</xdr:colOff>
                <xdr:row>6</xdr:row>
                <xdr:rowOff>114300</xdr:rowOff>
              </from>
              <to>
                <xdr:col>18</xdr:col>
                <xdr:colOff>784860</xdr:colOff>
                <xdr:row>7</xdr:row>
                <xdr:rowOff>152400</xdr:rowOff>
              </to>
            </anchor>
          </controlPr>
        </control>
      </mc:Choice>
      <mc:Fallback>
        <control shapeId="6149" r:id="rId5" name="LSTClub"/>
      </mc:Fallback>
    </mc:AlternateContent>
    <mc:AlternateContent xmlns:mc="http://schemas.openxmlformats.org/markup-compatibility/2006">
      <mc:Choice Requires="x14">
        <control shapeId="6148" r:id="rId7" name="LSTJ2">
          <controlPr defaultSize="0" autoLine="0" r:id="rId8">
            <anchor moveWithCells="1">
              <from>
                <xdr:col>7</xdr:col>
                <xdr:colOff>289560</xdr:colOff>
                <xdr:row>9</xdr:row>
                <xdr:rowOff>76200</xdr:rowOff>
              </from>
              <to>
                <xdr:col>9</xdr:col>
                <xdr:colOff>739140</xdr:colOff>
                <xdr:row>9</xdr:row>
                <xdr:rowOff>312420</xdr:rowOff>
              </to>
            </anchor>
          </controlPr>
        </control>
      </mc:Choice>
      <mc:Fallback>
        <control shapeId="6148" r:id="rId7" name="LSTJ2"/>
      </mc:Fallback>
    </mc:AlternateContent>
    <mc:AlternateContent xmlns:mc="http://schemas.openxmlformats.org/markup-compatibility/2006">
      <mc:Choice Requires="x14">
        <control shapeId="6147" r:id="rId9" name="LSTJ1">
          <controlPr defaultSize="0" autoLine="0" r:id="rId10">
            <anchor moveWithCells="1">
              <from>
                <xdr:col>2</xdr:col>
                <xdr:colOff>1516380</xdr:colOff>
                <xdr:row>9</xdr:row>
                <xdr:rowOff>38100</xdr:rowOff>
              </from>
              <to>
                <xdr:col>4</xdr:col>
                <xdr:colOff>274320</xdr:colOff>
                <xdr:row>9</xdr:row>
                <xdr:rowOff>297180</xdr:rowOff>
              </to>
            </anchor>
          </controlPr>
        </control>
      </mc:Choice>
      <mc:Fallback>
        <control shapeId="6147" r:id="rId9" name="LSTJ1"/>
      </mc:Fallback>
    </mc:AlternateContent>
    <mc:AlternateContent xmlns:mc="http://schemas.openxmlformats.org/markup-compatibility/2006">
      <mc:Choice Requires="x14">
        <control shapeId="6146" r:id="rId11" name="LSTCateg">
          <controlPr defaultSize="0" autoLine="0" r:id="rId12">
            <anchor moveWithCells="1">
              <from>
                <xdr:col>5</xdr:col>
                <xdr:colOff>114300</xdr:colOff>
                <xdr:row>5</xdr:row>
                <xdr:rowOff>121920</xdr:rowOff>
              </from>
              <to>
                <xdr:col>6</xdr:col>
                <xdr:colOff>670560</xdr:colOff>
                <xdr:row>5</xdr:row>
                <xdr:rowOff>472440</xdr:rowOff>
              </to>
            </anchor>
          </controlPr>
        </control>
      </mc:Choice>
      <mc:Fallback>
        <control shapeId="6146" r:id="rId11" name="LSTCateg"/>
      </mc:Fallback>
    </mc:AlternateContent>
    <mc:AlternateContent xmlns:mc="http://schemas.openxmlformats.org/markup-compatibility/2006">
      <mc:Choice Requires="x14">
        <control shapeId="6151" r:id="rId13" name="BTNfeuilleClub">
          <controlPr defaultSize="0" autoLine="0" r:id="rId14">
            <anchor moveWithCells="1">
              <from>
                <xdr:col>16</xdr:col>
                <xdr:colOff>220980</xdr:colOff>
                <xdr:row>9</xdr:row>
                <xdr:rowOff>7620</xdr:rowOff>
              </from>
              <to>
                <xdr:col>18</xdr:col>
                <xdr:colOff>906780</xdr:colOff>
                <xdr:row>10</xdr:row>
                <xdr:rowOff>121920</xdr:rowOff>
              </to>
            </anchor>
          </controlPr>
        </control>
      </mc:Choice>
      <mc:Fallback>
        <control shapeId="6151" r:id="rId13" name="BTNfeuilleClub"/>
      </mc:Fallback>
    </mc:AlternateContent>
    <mc:AlternateContent xmlns:mc="http://schemas.openxmlformats.org/markup-compatibility/2006">
      <mc:Choice Requires="x14">
        <control shapeId="6152" r:id="rId15" name="LSTIndic">
          <controlPr defaultSize="0" autoLine="0" autoPict="0" r:id="rId16">
            <anchor moveWithCells="1">
              <from>
                <xdr:col>18</xdr:col>
                <xdr:colOff>899160</xdr:colOff>
                <xdr:row>12</xdr:row>
                <xdr:rowOff>152400</xdr:rowOff>
              </from>
              <to>
                <xdr:col>20</xdr:col>
                <xdr:colOff>0</xdr:colOff>
                <xdr:row>13</xdr:row>
                <xdr:rowOff>213360</xdr:rowOff>
              </to>
            </anchor>
          </controlPr>
        </control>
      </mc:Choice>
      <mc:Fallback>
        <control shapeId="6152" r:id="rId15" name="LSTIndic"/>
      </mc:Fallback>
    </mc:AlternateContent>
    <mc:AlternateContent xmlns:mc="http://schemas.openxmlformats.org/markup-compatibility/2006">
      <mc:Choice Requires="x14">
        <control shapeId="6153" r:id="rId17" name="LSTTypes">
          <controlPr defaultSize="0" autoLine="0" autoPict="0" r:id="rId18">
            <anchor moveWithCells="1">
              <from>
                <xdr:col>16</xdr:col>
                <xdr:colOff>495300</xdr:colOff>
                <xdr:row>12</xdr:row>
                <xdr:rowOff>152400</xdr:rowOff>
              </from>
              <to>
                <xdr:col>18</xdr:col>
                <xdr:colOff>830580</xdr:colOff>
                <xdr:row>13</xdr:row>
                <xdr:rowOff>228600</xdr:rowOff>
              </to>
            </anchor>
          </controlPr>
        </control>
      </mc:Choice>
      <mc:Fallback>
        <control shapeId="6153" r:id="rId17" name="LSTTypes"/>
      </mc:Fallback>
    </mc:AlternateContent>
    <mc:AlternateContent xmlns:mc="http://schemas.openxmlformats.org/markup-compatibility/2006">
      <mc:Choice Requires="x14">
        <control shapeId="6154" r:id="rId19" name="BTNGraph">
          <controlPr defaultSize="0" autoLine="0" autoPict="0" r:id="rId20">
            <anchor moveWithCells="1">
              <from>
                <xdr:col>20</xdr:col>
                <xdr:colOff>381000</xdr:colOff>
                <xdr:row>12</xdr:row>
                <xdr:rowOff>106680</xdr:rowOff>
              </from>
              <to>
                <xdr:col>23</xdr:col>
                <xdr:colOff>175260</xdr:colOff>
                <xdr:row>13</xdr:row>
                <xdr:rowOff>251460</xdr:rowOff>
              </to>
            </anchor>
          </controlPr>
        </control>
      </mc:Choice>
      <mc:Fallback>
        <control shapeId="6154" r:id="rId19" name="BTNGraph"/>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B0EEA-D932-4CD1-931A-675B59EEDBBC}">
  <sheetPr codeName="Feuil8"/>
  <dimension ref="B12:E23"/>
  <sheetViews>
    <sheetView workbookViewId="0">
      <selection activeCell="E31" sqref="E31"/>
    </sheetView>
  </sheetViews>
  <sheetFormatPr baseColWidth="10" defaultColWidth="11.44140625" defaultRowHeight="14.4" x14ac:dyDescent="0.3"/>
  <cols>
    <col min="1" max="1" width="11.44140625" style="21"/>
    <col min="2" max="2" width="7.5546875" style="21" bestFit="1" customWidth="1"/>
    <col min="3" max="3" width="17" style="21" bestFit="1" customWidth="1"/>
    <col min="4" max="4" width="19.88671875" style="21" bestFit="1" customWidth="1"/>
    <col min="5" max="5" width="15.88671875" style="21" bestFit="1" customWidth="1"/>
    <col min="6" max="16384" width="11.44140625" style="21"/>
  </cols>
  <sheetData>
    <row r="12" spans="2:5" x14ac:dyDescent="0.3">
      <c r="B12" s="105" t="s">
        <v>196</v>
      </c>
      <c r="C12" s="105" t="s">
        <v>197</v>
      </c>
      <c r="D12" s="105" t="s">
        <v>198</v>
      </c>
      <c r="E12" s="105" t="s">
        <v>199</v>
      </c>
    </row>
    <row r="13" spans="2:5" x14ac:dyDescent="0.3">
      <c r="B13" s="107" t="s">
        <v>200</v>
      </c>
      <c r="C13" s="107" t="s">
        <v>201</v>
      </c>
      <c r="D13" s="108" t="e" vm="1">
        <v>#VALUE!</v>
      </c>
      <c r="E13" s="58">
        <v>3</v>
      </c>
    </row>
    <row r="14" spans="2:5" x14ac:dyDescent="0.3">
      <c r="B14" s="107" t="s">
        <v>200</v>
      </c>
      <c r="C14" s="107" t="s">
        <v>201</v>
      </c>
      <c r="D14" s="108" t="e" vm="2">
        <v>#VALUE!</v>
      </c>
      <c r="E14" s="58">
        <v>12</v>
      </c>
    </row>
    <row r="15" spans="2:5" x14ac:dyDescent="0.3">
      <c r="B15" s="107" t="s">
        <v>200</v>
      </c>
      <c r="C15" s="107" t="s">
        <v>201</v>
      </c>
      <c r="D15" s="108" t="e" vm="3">
        <v>#VALUE!</v>
      </c>
      <c r="E15" s="58">
        <v>19</v>
      </c>
    </row>
    <row r="16" spans="2:5" x14ac:dyDescent="0.3">
      <c r="B16" s="107" t="s">
        <v>200</v>
      </c>
      <c r="C16" s="107" t="s">
        <v>201</v>
      </c>
      <c r="D16" s="108" t="e" vm="4">
        <v>#VALUE!</v>
      </c>
      <c r="E16" s="58">
        <v>1</v>
      </c>
    </row>
    <row r="17" spans="2:5" x14ac:dyDescent="0.3">
      <c r="B17" s="107" t="s">
        <v>200</v>
      </c>
      <c r="C17" s="107" t="s">
        <v>201</v>
      </c>
      <c r="D17" s="108" t="e" vm="5">
        <v>#VALUE!</v>
      </c>
      <c r="E17" s="58">
        <v>2</v>
      </c>
    </row>
    <row r="18" spans="2:5" x14ac:dyDescent="0.3">
      <c r="B18" s="107" t="s">
        <v>200</v>
      </c>
      <c r="C18" s="107" t="s">
        <v>202</v>
      </c>
      <c r="D18" s="108" t="e" vm="6">
        <v>#VALUE!</v>
      </c>
      <c r="E18" s="58">
        <v>1</v>
      </c>
    </row>
    <row r="19" spans="2:5" x14ac:dyDescent="0.3">
      <c r="B19" s="107" t="s">
        <v>200</v>
      </c>
      <c r="C19" s="109" t="s">
        <v>203</v>
      </c>
      <c r="D19" s="110" t="e" vm="7">
        <v>#VALUE!</v>
      </c>
      <c r="E19" s="58">
        <v>4</v>
      </c>
    </row>
    <row r="20" spans="2:5" x14ac:dyDescent="0.3">
      <c r="B20" s="107" t="s">
        <v>200</v>
      </c>
      <c r="C20" s="107" t="s">
        <v>202</v>
      </c>
      <c r="D20" s="108" t="e" vm="8">
        <v>#VALUE!</v>
      </c>
      <c r="E20" s="58">
        <v>1</v>
      </c>
    </row>
    <row r="21" spans="2:5" x14ac:dyDescent="0.3">
      <c r="B21" s="107" t="s">
        <v>200</v>
      </c>
      <c r="C21" s="107" t="s">
        <v>201</v>
      </c>
      <c r="D21" s="108" t="e" vm="9">
        <v>#VALUE!</v>
      </c>
      <c r="E21" s="58">
        <v>2</v>
      </c>
    </row>
    <row r="22" spans="2:5" x14ac:dyDescent="0.3">
      <c r="B22" s="107" t="s">
        <v>200</v>
      </c>
      <c r="C22" s="109" t="s">
        <v>203</v>
      </c>
      <c r="D22" s="108" t="e" vm="10">
        <v>#VALUE!</v>
      </c>
      <c r="E22" s="58">
        <v>2</v>
      </c>
    </row>
    <row r="23" spans="2:5" x14ac:dyDescent="0.3">
      <c r="B23" s="107" t="s">
        <v>200</v>
      </c>
      <c r="C23" s="107" t="s">
        <v>201</v>
      </c>
      <c r="D23" s="108" t="e" vm="11">
        <v>#VALUE!</v>
      </c>
      <c r="E23" s="58">
        <v>9</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42829-6299-4BF5-A2D2-0D83D0CA1E95}">
  <sheetPr codeName="Feuil3"/>
  <dimension ref="A1:P29"/>
  <sheetViews>
    <sheetView zoomScaleNormal="100" workbookViewId="0">
      <selection activeCell="A8" sqref="A8"/>
    </sheetView>
  </sheetViews>
  <sheetFormatPr baseColWidth="10" defaultRowHeight="14.4" x14ac:dyDescent="0.3"/>
  <cols>
    <col min="1" max="1" width="26.6640625" bestFit="1" customWidth="1"/>
    <col min="2" max="2" width="18.109375" bestFit="1" customWidth="1"/>
    <col min="3" max="3" width="6.109375" bestFit="1" customWidth="1"/>
    <col min="4" max="4" width="22.33203125" bestFit="1" customWidth="1"/>
    <col min="5" max="5" width="20.109375" bestFit="1" customWidth="1"/>
    <col min="6" max="6" width="16.33203125" customWidth="1"/>
    <col min="7" max="7" width="20.33203125" bestFit="1" customWidth="1"/>
    <col min="10" max="10" width="18.33203125" bestFit="1" customWidth="1"/>
    <col min="11" max="11" width="11.6640625" customWidth="1"/>
    <col min="13" max="13" width="20.33203125" bestFit="1" customWidth="1"/>
    <col min="14" max="14" width="14.33203125" bestFit="1" customWidth="1"/>
    <col min="15" max="15" width="12" bestFit="1" customWidth="1"/>
    <col min="16" max="16" width="13" bestFit="1" customWidth="1"/>
  </cols>
  <sheetData>
    <row r="1" spans="1:16" x14ac:dyDescent="0.3">
      <c r="A1" s="2"/>
      <c r="B1" s="2"/>
      <c r="C1" s="2"/>
      <c r="D1" s="2"/>
      <c r="E1" s="2"/>
      <c r="F1" s="2"/>
      <c r="G1" s="2"/>
      <c r="H1" s="2"/>
      <c r="I1" s="2"/>
      <c r="J1" s="2"/>
      <c r="K1" s="2"/>
      <c r="L1" s="2"/>
      <c r="M1" s="2"/>
      <c r="N1" s="2"/>
      <c r="O1" s="2"/>
      <c r="P1" s="3"/>
    </row>
    <row r="2" spans="1:16" x14ac:dyDescent="0.3">
      <c r="A2" s="5"/>
      <c r="B2" s="5"/>
      <c r="C2" s="5"/>
      <c r="D2" s="5"/>
      <c r="E2" s="5"/>
      <c r="F2" s="5"/>
      <c r="G2" s="5"/>
      <c r="H2" s="5"/>
      <c r="I2" s="5"/>
      <c r="J2" s="5"/>
      <c r="K2" s="5"/>
      <c r="L2" s="5"/>
      <c r="M2" s="5"/>
      <c r="N2" s="5"/>
      <c r="O2" s="5"/>
      <c r="P2" s="6"/>
    </row>
    <row r="3" spans="1:16" ht="27.6" customHeight="1" x14ac:dyDescent="0.7">
      <c r="A3" s="5"/>
      <c r="B3" s="5"/>
      <c r="C3" s="5"/>
      <c r="D3" s="7" t="s">
        <v>0</v>
      </c>
      <c r="E3" s="8">
        <f ca="1">TODAY()</f>
        <v>45771</v>
      </c>
      <c r="F3" s="5"/>
      <c r="G3" s="129" t="s">
        <v>1</v>
      </c>
      <c r="H3" s="129"/>
      <c r="I3" s="129"/>
      <c r="J3" s="129"/>
      <c r="K3" s="129"/>
      <c r="L3" s="5"/>
      <c r="M3" s="5"/>
      <c r="N3" s="5"/>
      <c r="O3" s="5"/>
      <c r="P3" s="6"/>
    </row>
    <row r="4" spans="1:16" x14ac:dyDescent="0.3">
      <c r="A4" s="5"/>
      <c r="B4" s="5"/>
      <c r="C4" s="5"/>
      <c r="D4" s="5"/>
      <c r="E4" s="5"/>
      <c r="F4" s="5"/>
      <c r="G4" s="5"/>
      <c r="H4" s="5"/>
      <c r="I4" s="5"/>
      <c r="J4" s="5"/>
      <c r="K4" s="5"/>
      <c r="L4" s="5"/>
      <c r="M4" s="5"/>
      <c r="N4" s="5"/>
      <c r="O4" s="5"/>
      <c r="P4" s="6"/>
    </row>
    <row r="5" spans="1:16" x14ac:dyDescent="0.3">
      <c r="A5" s="5"/>
      <c r="B5" s="5"/>
      <c r="C5" s="5"/>
      <c r="D5" s="5"/>
      <c r="E5" s="5"/>
      <c r="F5" s="5"/>
      <c r="G5" s="5"/>
      <c r="H5" s="130" t="s">
        <v>13</v>
      </c>
      <c r="I5" s="130"/>
      <c r="J5" s="130"/>
      <c r="K5" s="130"/>
      <c r="L5" s="130"/>
      <c r="M5" s="130"/>
      <c r="N5" s="5"/>
      <c r="O5" s="5"/>
      <c r="P5" s="6"/>
    </row>
    <row r="6" spans="1:16" x14ac:dyDescent="0.3">
      <c r="A6" s="5"/>
      <c r="B6" s="5"/>
      <c r="C6" s="5"/>
      <c r="D6" s="5"/>
      <c r="E6" s="131" t="s">
        <v>7</v>
      </c>
      <c r="F6" s="131"/>
      <c r="G6" s="99" t="s">
        <v>8</v>
      </c>
      <c r="H6" s="131" t="s">
        <v>9</v>
      </c>
      <c r="I6" s="131"/>
      <c r="J6" s="99" t="s">
        <v>8</v>
      </c>
      <c r="K6" s="131" t="s">
        <v>12</v>
      </c>
      <c r="L6" s="131"/>
      <c r="M6" s="99" t="s">
        <v>8</v>
      </c>
      <c r="N6" s="99" t="s">
        <v>14</v>
      </c>
      <c r="O6" s="99" t="s">
        <v>15</v>
      </c>
      <c r="P6" s="100" t="s">
        <v>16</v>
      </c>
    </row>
    <row r="7" spans="1:16" ht="15" thickBot="1" x14ac:dyDescent="0.35">
      <c r="A7" s="20" t="s">
        <v>18</v>
      </c>
      <c r="B7" s="20" t="s">
        <v>2</v>
      </c>
      <c r="C7" s="20" t="s">
        <v>3</v>
      </c>
      <c r="D7" s="96" t="s">
        <v>4</v>
      </c>
      <c r="E7" s="97" t="s">
        <v>5</v>
      </c>
      <c r="F7" s="97" t="s">
        <v>6</v>
      </c>
      <c r="G7" s="97" t="s">
        <v>204</v>
      </c>
      <c r="H7" s="97" t="s">
        <v>10</v>
      </c>
      <c r="I7" s="97" t="s">
        <v>11</v>
      </c>
      <c r="J7" s="97" t="s">
        <v>205</v>
      </c>
      <c r="K7" s="97" t="s">
        <v>10</v>
      </c>
      <c r="L7" s="97" t="s">
        <v>11</v>
      </c>
      <c r="M7" s="97" t="s">
        <v>206</v>
      </c>
      <c r="N7" s="97" t="s">
        <v>211</v>
      </c>
      <c r="O7" s="97" t="s">
        <v>212</v>
      </c>
      <c r="P7" s="98" t="s">
        <v>210</v>
      </c>
    </row>
    <row r="8" spans="1:16" x14ac:dyDescent="0.3">
      <c r="A8" s="19" t="s">
        <v>29</v>
      </c>
      <c r="B8" t="s">
        <v>37</v>
      </c>
      <c r="C8">
        <v>2007</v>
      </c>
      <c r="D8" t="s">
        <v>38</v>
      </c>
      <c r="E8">
        <v>31</v>
      </c>
      <c r="F8">
        <v>19</v>
      </c>
      <c r="G8">
        <f t="shared" ref="G8:G16" si="0">IF(ROUNDUP(AVERAGE(E8:F8),0)&gt;50,50,ROUNDUP(AVERAGE(E8:F8),0))</f>
        <v>25</v>
      </c>
      <c r="H8" s="11">
        <v>2.1918122341852397</v>
      </c>
      <c r="I8" s="11">
        <v>2.1674856741220947</v>
      </c>
      <c r="J8" s="12" cm="1">
        <f t="array" ref="J8">CalNoteVit($H$6,C8,H8,I8)</f>
        <v>0</v>
      </c>
      <c r="K8" s="11">
        <v>5.512862601343925</v>
      </c>
      <c r="L8" s="11">
        <v>5.025805742823156</v>
      </c>
      <c r="M8" cm="1">
        <f t="array" ref="M8">CalNoteVit($K$6,C8,K8,L8)</f>
        <v>20</v>
      </c>
      <c r="N8">
        <v>112</v>
      </c>
      <c r="O8">
        <v>45</v>
      </c>
      <c r="P8">
        <f t="shared" ref="P8:P16" si="1">SUM(G8,J8,M8,N8,O8)</f>
        <v>202</v>
      </c>
    </row>
    <row r="9" spans="1:16" x14ac:dyDescent="0.3">
      <c r="A9" s="19" t="s">
        <v>156</v>
      </c>
      <c r="B9" t="s">
        <v>39</v>
      </c>
      <c r="C9">
        <v>2009</v>
      </c>
      <c r="D9" t="s">
        <v>38</v>
      </c>
      <c r="E9">
        <v>12</v>
      </c>
      <c r="F9">
        <v>30</v>
      </c>
      <c r="G9">
        <f t="shared" si="0"/>
        <v>21</v>
      </c>
      <c r="H9" s="11">
        <v>1.8676540724943007</v>
      </c>
      <c r="I9" s="11">
        <v>1.8417751102181801</v>
      </c>
      <c r="J9" s="12" cm="1">
        <f t="array" ref="J9">CalNoteVit($H$6,C9,H9,I9)</f>
        <v>6</v>
      </c>
      <c r="K9" s="11">
        <v>6.5403087066672629</v>
      </c>
      <c r="L9" s="11">
        <v>5.1472606819261912</v>
      </c>
      <c r="M9" cm="1">
        <f t="array" ref="M9">CalNoteVit($K$6,C9,K9,L9)</f>
        <v>20</v>
      </c>
      <c r="N9">
        <v>113</v>
      </c>
      <c r="O9">
        <v>39</v>
      </c>
      <c r="P9">
        <f t="shared" si="1"/>
        <v>199</v>
      </c>
    </row>
    <row r="10" spans="1:16" x14ac:dyDescent="0.3">
      <c r="A10" s="19" t="s">
        <v>30</v>
      </c>
      <c r="B10" t="s">
        <v>40</v>
      </c>
      <c r="C10">
        <v>2008</v>
      </c>
      <c r="D10" t="s">
        <v>38</v>
      </c>
      <c r="E10">
        <v>93</v>
      </c>
      <c r="F10">
        <v>60</v>
      </c>
      <c r="G10">
        <f t="shared" si="0"/>
        <v>50</v>
      </c>
      <c r="H10" s="11">
        <v>1.7299691798784247</v>
      </c>
      <c r="I10" s="11">
        <v>1.743604534330526</v>
      </c>
      <c r="J10" s="12" cm="1">
        <f t="array" ref="J10">CalNoteVit($H$6,C10,H10,I10)</f>
        <v>10</v>
      </c>
      <c r="K10" s="11">
        <v>6.4046050846870486</v>
      </c>
      <c r="L10" s="11">
        <v>5.4101057971865201</v>
      </c>
      <c r="M10" cm="1">
        <f t="array" ref="M10">CalNoteVit($K$6,C10,K10,L10)</f>
        <v>18</v>
      </c>
      <c r="N10">
        <v>97</v>
      </c>
      <c r="O10">
        <v>18</v>
      </c>
      <c r="P10">
        <f t="shared" si="1"/>
        <v>193</v>
      </c>
    </row>
    <row r="11" spans="1:16" x14ac:dyDescent="0.3">
      <c r="A11" s="19" t="s">
        <v>31</v>
      </c>
      <c r="B11" t="s">
        <v>41</v>
      </c>
      <c r="C11">
        <v>2008</v>
      </c>
      <c r="D11" t="s">
        <v>38</v>
      </c>
      <c r="E11">
        <v>34</v>
      </c>
      <c r="F11">
        <v>13</v>
      </c>
      <c r="G11">
        <f t="shared" si="0"/>
        <v>24</v>
      </c>
      <c r="H11" s="11">
        <v>1.8778268024684115</v>
      </c>
      <c r="I11" s="11">
        <v>1.7476255337174906</v>
      </c>
      <c r="J11" s="12" cm="1">
        <f t="array" ref="J11">CalNoteVit($H$6,C11,H11,I11)</f>
        <v>10</v>
      </c>
      <c r="K11" s="11">
        <v>6.7457706678052709</v>
      </c>
      <c r="L11" s="11">
        <v>6.4742194562720083</v>
      </c>
      <c r="M11" cm="1">
        <f t="array" ref="M11">CalNoteVit($K$6,C11,K11,L11)</f>
        <v>0</v>
      </c>
      <c r="N11">
        <v>100</v>
      </c>
      <c r="O11">
        <v>34</v>
      </c>
      <c r="P11">
        <f t="shared" si="1"/>
        <v>168</v>
      </c>
    </row>
    <row r="12" spans="1:16" x14ac:dyDescent="0.3">
      <c r="A12" s="19" t="s">
        <v>32</v>
      </c>
      <c r="B12" t="s">
        <v>42</v>
      </c>
      <c r="C12">
        <v>2009</v>
      </c>
      <c r="D12" t="s">
        <v>38</v>
      </c>
      <c r="E12">
        <v>50</v>
      </c>
      <c r="F12">
        <v>25</v>
      </c>
      <c r="G12">
        <f t="shared" si="0"/>
        <v>38</v>
      </c>
      <c r="H12" s="11">
        <v>1.78</v>
      </c>
      <c r="I12" s="11">
        <v>1.82</v>
      </c>
      <c r="J12" s="12" cm="1">
        <f t="array" ref="J12">CalNoteVit($H$6,C12,H12,I12)</f>
        <v>10</v>
      </c>
      <c r="K12" s="11">
        <v>6.5072456019973917</v>
      </c>
      <c r="L12" s="11">
        <v>6.3447570617368498</v>
      </c>
      <c r="M12" cm="1">
        <f t="array" ref="M12">CalNoteVit($K$6,C12,K12,L12)</f>
        <v>2</v>
      </c>
      <c r="N12">
        <v>65</v>
      </c>
      <c r="O12">
        <v>46</v>
      </c>
      <c r="P12">
        <f t="shared" si="1"/>
        <v>161</v>
      </c>
    </row>
    <row r="13" spans="1:16" x14ac:dyDescent="0.3">
      <c r="A13" s="19" t="s">
        <v>33</v>
      </c>
      <c r="B13" t="s">
        <v>43</v>
      </c>
      <c r="C13">
        <v>2009</v>
      </c>
      <c r="D13" t="s">
        <v>38</v>
      </c>
      <c r="E13">
        <v>45</v>
      </c>
      <c r="F13">
        <v>15</v>
      </c>
      <c r="G13">
        <f t="shared" si="0"/>
        <v>30</v>
      </c>
      <c r="H13" s="11">
        <v>1.769761431101821</v>
      </c>
      <c r="I13" s="11">
        <v>1.9590986960716179</v>
      </c>
      <c r="J13" s="12" cm="1">
        <f t="array" ref="J13">CalNoteVit($H$6,C13,H13,I13)</f>
        <v>10</v>
      </c>
      <c r="K13" s="11">
        <v>6.0644676110487863</v>
      </c>
      <c r="L13" s="11">
        <v>6.6425240890573178</v>
      </c>
      <c r="M13" cm="1">
        <f t="array" ref="M13">CalNoteVit($K$6,C13,K13,L13)</f>
        <v>6</v>
      </c>
      <c r="N13">
        <v>91</v>
      </c>
      <c r="O13">
        <v>22</v>
      </c>
      <c r="P13">
        <f t="shared" si="1"/>
        <v>159</v>
      </c>
    </row>
    <row r="14" spans="1:16" x14ac:dyDescent="0.3">
      <c r="A14" s="19" t="s">
        <v>34</v>
      </c>
      <c r="B14" t="s">
        <v>43</v>
      </c>
      <c r="C14">
        <v>2009</v>
      </c>
      <c r="D14" t="s">
        <v>38</v>
      </c>
      <c r="E14">
        <v>44</v>
      </c>
      <c r="F14">
        <v>9</v>
      </c>
      <c r="G14">
        <f t="shared" si="0"/>
        <v>27</v>
      </c>
      <c r="H14" s="11">
        <v>1.8341613380135</v>
      </c>
      <c r="I14" s="11">
        <v>2.1750380338624145</v>
      </c>
      <c r="J14" s="12" cm="1">
        <f t="array" ref="J14">CalNoteVit($H$6,C14,H14,I14)</f>
        <v>0</v>
      </c>
      <c r="K14" s="11">
        <v>6.6031374742078812</v>
      </c>
      <c r="L14" s="11">
        <v>6.5387884577256079</v>
      </c>
      <c r="M14" cm="1">
        <f t="array" ref="M14">CalNoteVit($K$6,C14,K14,L14)</f>
        <v>0</v>
      </c>
      <c r="N14">
        <v>83</v>
      </c>
      <c r="O14">
        <v>39</v>
      </c>
      <c r="P14">
        <f t="shared" si="1"/>
        <v>149</v>
      </c>
    </row>
    <row r="15" spans="1:16" x14ac:dyDescent="0.3">
      <c r="A15" s="19" t="s">
        <v>35</v>
      </c>
      <c r="B15" t="s">
        <v>44</v>
      </c>
      <c r="C15">
        <v>2009</v>
      </c>
      <c r="D15" t="s">
        <v>38</v>
      </c>
      <c r="E15">
        <v>36</v>
      </c>
      <c r="F15">
        <v>22</v>
      </c>
      <c r="G15">
        <f t="shared" si="0"/>
        <v>29</v>
      </c>
      <c r="H15" s="11">
        <v>2.1203339442033506</v>
      </c>
      <c r="I15" s="11">
        <v>1.9455949097590699</v>
      </c>
      <c r="J15" s="12" cm="1">
        <f t="array" ref="J15">CalNoteVit($H$6,C15,H15,I15)</f>
        <v>2</v>
      </c>
      <c r="K15" s="11">
        <v>5.125774562531614</v>
      </c>
      <c r="L15" s="11">
        <v>5.5016671581411147</v>
      </c>
      <c r="M15" cm="1">
        <f t="array" ref="M15">CalNoteVit($K$6,C15,K15,L15)</f>
        <v>20</v>
      </c>
      <c r="N15">
        <v>74</v>
      </c>
      <c r="O15">
        <v>12</v>
      </c>
      <c r="P15">
        <f t="shared" si="1"/>
        <v>137</v>
      </c>
    </row>
    <row r="16" spans="1:16" x14ac:dyDescent="0.3">
      <c r="A16" s="19" t="s">
        <v>36</v>
      </c>
      <c r="B16" t="s">
        <v>45</v>
      </c>
      <c r="C16">
        <v>2009</v>
      </c>
      <c r="D16" t="s">
        <v>38</v>
      </c>
      <c r="E16">
        <v>48</v>
      </c>
      <c r="F16">
        <v>22</v>
      </c>
      <c r="G16">
        <f t="shared" si="0"/>
        <v>35</v>
      </c>
      <c r="H16" s="11">
        <v>1.7966814702551901</v>
      </c>
      <c r="I16" s="11">
        <v>1.606320398256047</v>
      </c>
      <c r="J16" s="12" cm="1">
        <f t="array" ref="J16">CalNoteVit($H$6,C16,H16,I16)</f>
        <v>10</v>
      </c>
      <c r="K16" s="11">
        <v>6.2282740837883708</v>
      </c>
      <c r="L16" s="11">
        <v>6.1334960948113419</v>
      </c>
      <c r="M16" cm="1">
        <f t="array" ref="M16">CalNoteVit($K$6,C16,K16,L16)</f>
        <v>6</v>
      </c>
      <c r="N16">
        <v>57</v>
      </c>
      <c r="O16">
        <v>10</v>
      </c>
      <c r="P16">
        <f t="shared" si="1"/>
        <v>118</v>
      </c>
    </row>
    <row r="17" spans="8:13" x14ac:dyDescent="0.3">
      <c r="J17" s="12"/>
    </row>
    <row r="18" spans="8:13" x14ac:dyDescent="0.3">
      <c r="J18" s="12"/>
    </row>
    <row r="19" spans="8:13" x14ac:dyDescent="0.3">
      <c r="J19" s="12"/>
      <c r="M19" s="13"/>
    </row>
    <row r="20" spans="8:13" x14ac:dyDescent="0.3">
      <c r="J20" s="12"/>
      <c r="M20" s="13"/>
    </row>
    <row r="21" spans="8:13" x14ac:dyDescent="0.3">
      <c r="H21" s="11"/>
      <c r="J21" s="12"/>
      <c r="K21" s="11"/>
      <c r="L21" s="11"/>
      <c r="M21" s="13"/>
    </row>
    <row r="22" spans="8:13" x14ac:dyDescent="0.3">
      <c r="H22" s="11"/>
      <c r="J22" s="12"/>
      <c r="K22" s="11"/>
      <c r="L22" s="11"/>
      <c r="M22" s="13"/>
    </row>
    <row r="23" spans="8:13" x14ac:dyDescent="0.3">
      <c r="H23" s="11"/>
      <c r="J23" s="12"/>
      <c r="K23" s="11"/>
      <c r="L23" s="11"/>
      <c r="M23" s="13"/>
    </row>
    <row r="24" spans="8:13" x14ac:dyDescent="0.3">
      <c r="H24" s="11"/>
      <c r="J24" s="12"/>
      <c r="K24" s="11"/>
      <c r="L24" s="11"/>
      <c r="M24" s="13"/>
    </row>
    <row r="25" spans="8:13" x14ac:dyDescent="0.3">
      <c r="H25" s="11"/>
      <c r="J25" s="12"/>
      <c r="K25" s="11"/>
      <c r="L25" s="11"/>
      <c r="M25" s="13"/>
    </row>
    <row r="26" spans="8:13" x14ac:dyDescent="0.3">
      <c r="H26" s="11"/>
      <c r="K26" s="11"/>
      <c r="L26" s="11"/>
      <c r="M26" s="13"/>
    </row>
    <row r="27" spans="8:13" x14ac:dyDescent="0.3">
      <c r="H27" s="11"/>
      <c r="K27" s="11"/>
      <c r="L27" s="11"/>
      <c r="M27" s="13"/>
    </row>
    <row r="28" spans="8:13" x14ac:dyDescent="0.3">
      <c r="H28" s="11"/>
      <c r="K28" s="11"/>
      <c r="L28" s="11"/>
    </row>
    <row r="29" spans="8:13" x14ac:dyDescent="0.3">
      <c r="K29" s="11"/>
      <c r="L29" s="11"/>
    </row>
  </sheetData>
  <sortState xmlns:xlrd2="http://schemas.microsoft.com/office/spreadsheetml/2017/richdata2" ref="A8:P16">
    <sortCondition descending="1" ref="P8"/>
  </sortState>
  <mergeCells count="5">
    <mergeCell ref="G3:K3"/>
    <mergeCell ref="H5:M5"/>
    <mergeCell ref="E6:F6"/>
    <mergeCell ref="H6:I6"/>
    <mergeCell ref="K6:L6"/>
  </mergeCells>
  <hyperlinks>
    <hyperlink ref="A8" location="$A$8" display="$A$8" xr:uid="{F175F033-A084-4586-9B46-8AD73524D8B0}"/>
    <hyperlink ref="A9" location="$A$9" display="$A$9" xr:uid="{9513E370-5614-4896-8123-B2847E1BC6D8}"/>
    <hyperlink ref="A10" location="$A$10" display="$A$10" xr:uid="{BF570539-01E8-488E-BA81-ED682B5933B9}"/>
    <hyperlink ref="A11" location="$A$11" display="$A$11" xr:uid="{7A34EC0D-7007-4A44-8DFF-9D8B8372F169}"/>
    <hyperlink ref="A12" location="$A$12" display="$A$12" xr:uid="{5D5E20FE-DF8A-4F56-B116-9ABFE1116098}"/>
    <hyperlink ref="A13" location="$A$13" display="$A$13" xr:uid="{CDD81FE6-736E-4728-96D7-DFD5ECBFFB78}"/>
    <hyperlink ref="A14" location="$A$14" display="$A$14" xr:uid="{52BC7863-C203-4CBD-96CA-D8E1015C77BD}"/>
    <hyperlink ref="A15" location="$A$15" display="$A$15" xr:uid="{F7917E01-271D-4CF0-BB45-1DCFF4A818EE}"/>
    <hyperlink ref="A16" location="$A$16" display="$A$16" xr:uid="{76FF5FAA-E56D-472C-9551-C6DD820F1CA4}"/>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BF1DB-6221-45E3-B748-BA4A50603FDA}">
  <sheetPr codeName="Feuil4"/>
  <dimension ref="A1:S11"/>
  <sheetViews>
    <sheetView workbookViewId="0">
      <selection activeCell="A8" sqref="A8"/>
    </sheetView>
  </sheetViews>
  <sheetFormatPr baseColWidth="10" defaultRowHeight="14.4" x14ac:dyDescent="0.3"/>
  <cols>
    <col min="1" max="1" width="23.33203125" bestFit="1" customWidth="1"/>
    <col min="2" max="2" width="18.6640625" bestFit="1" customWidth="1"/>
    <col min="4" max="4" width="21" bestFit="1" customWidth="1"/>
    <col min="5" max="5" width="20" bestFit="1" customWidth="1"/>
    <col min="6" max="6" width="16.33203125" customWidth="1"/>
    <col min="7" max="7" width="14.33203125" customWidth="1"/>
    <col min="8" max="8" width="15.33203125" customWidth="1"/>
    <col min="9" max="10" width="17.109375" bestFit="1" customWidth="1"/>
    <col min="11" max="11" width="20" customWidth="1"/>
    <col min="12" max="13" width="17.109375" bestFit="1" customWidth="1"/>
    <col min="14" max="14" width="13.5546875" bestFit="1" customWidth="1"/>
    <col min="16" max="16" width="12.88671875" bestFit="1" customWidth="1"/>
    <col min="17" max="17" width="14.5546875" bestFit="1" customWidth="1"/>
    <col min="18" max="19" width="13" bestFit="1" customWidth="1"/>
  </cols>
  <sheetData>
    <row r="1" spans="1:19" x14ac:dyDescent="0.3">
      <c r="A1" s="2"/>
      <c r="B1" s="2"/>
      <c r="C1" s="2"/>
      <c r="D1" s="2"/>
      <c r="E1" s="2"/>
      <c r="F1" s="2"/>
      <c r="G1" s="2"/>
      <c r="H1" s="2"/>
      <c r="I1" s="2"/>
      <c r="J1" s="2"/>
      <c r="K1" s="2"/>
      <c r="L1" s="2"/>
      <c r="M1" s="2"/>
      <c r="N1" s="2"/>
      <c r="O1" s="2"/>
      <c r="P1" s="2"/>
      <c r="Q1" s="2"/>
      <c r="R1" s="2"/>
      <c r="S1" s="3"/>
    </row>
    <row r="2" spans="1:19" ht="9" customHeight="1" x14ac:dyDescent="0.3">
      <c r="A2" s="5"/>
      <c r="B2" s="5"/>
      <c r="C2" s="5"/>
      <c r="D2" s="5"/>
      <c r="E2" s="5"/>
      <c r="F2" s="5"/>
      <c r="G2" s="5"/>
      <c r="H2" s="5"/>
      <c r="I2" s="5"/>
      <c r="J2" s="5"/>
      <c r="K2" s="5"/>
      <c r="L2" s="5"/>
      <c r="M2" s="5"/>
      <c r="N2" s="5"/>
      <c r="O2" s="5"/>
      <c r="P2" s="5"/>
      <c r="Q2" s="5"/>
      <c r="R2" s="5"/>
      <c r="S2" s="6"/>
    </row>
    <row r="3" spans="1:19" ht="27.6" customHeight="1" x14ac:dyDescent="0.7">
      <c r="A3" s="5"/>
      <c r="B3" s="5"/>
      <c r="C3" s="5"/>
      <c r="D3" s="7" t="s">
        <v>0</v>
      </c>
      <c r="E3" s="8">
        <f ca="1">TODAY()</f>
        <v>45771</v>
      </c>
      <c r="F3" s="5"/>
      <c r="G3" s="129" t="s">
        <v>22</v>
      </c>
      <c r="H3" s="129"/>
      <c r="I3" s="129"/>
      <c r="J3" s="129"/>
      <c r="K3" s="129"/>
      <c r="L3" s="5"/>
      <c r="M3" s="5"/>
      <c r="N3" s="5"/>
      <c r="O3" s="5"/>
      <c r="P3" s="5"/>
      <c r="Q3" s="5"/>
      <c r="R3" s="5"/>
      <c r="S3" s="6"/>
    </row>
    <row r="4" spans="1:19" x14ac:dyDescent="0.3">
      <c r="A4" s="5"/>
      <c r="B4" s="5"/>
      <c r="C4" s="5"/>
      <c r="D4" s="5"/>
      <c r="E4" s="5"/>
      <c r="F4" s="5"/>
      <c r="G4" s="5"/>
      <c r="H4" s="5"/>
      <c r="I4" s="5"/>
      <c r="J4" s="5"/>
      <c r="K4" s="5"/>
      <c r="L4" s="5"/>
      <c r="M4" s="5"/>
      <c r="N4" s="5"/>
      <c r="O4" s="5"/>
      <c r="P4" s="5"/>
      <c r="Q4" s="5"/>
      <c r="R4" s="5"/>
      <c r="S4" s="6"/>
    </row>
    <row r="5" spans="1:19" x14ac:dyDescent="0.3">
      <c r="A5" s="5"/>
      <c r="B5" s="5"/>
      <c r="C5" s="5"/>
      <c r="D5" s="5"/>
      <c r="E5" s="5"/>
      <c r="F5" s="5"/>
      <c r="G5" s="9"/>
      <c r="H5" s="9"/>
      <c r="I5" s="130" t="s">
        <v>13</v>
      </c>
      <c r="J5" s="130"/>
      <c r="K5" s="130"/>
      <c r="L5" s="130"/>
      <c r="M5" s="130"/>
      <c r="N5" s="130"/>
      <c r="O5" s="9"/>
      <c r="P5" s="9"/>
      <c r="Q5" s="130" t="s">
        <v>21</v>
      </c>
      <c r="R5" s="130"/>
      <c r="S5" s="6"/>
    </row>
    <row r="6" spans="1:19" x14ac:dyDescent="0.3">
      <c r="A6" s="5"/>
      <c r="B6" s="5"/>
      <c r="C6" s="5"/>
      <c r="D6" s="5"/>
      <c r="E6" s="131" t="s">
        <v>7</v>
      </c>
      <c r="F6" s="131"/>
      <c r="G6" s="131"/>
      <c r="H6" s="99" t="s">
        <v>8</v>
      </c>
      <c r="I6" s="131" t="s">
        <v>9</v>
      </c>
      <c r="J6" s="131"/>
      <c r="K6" s="99" t="s">
        <v>8</v>
      </c>
      <c r="L6" s="131" t="s">
        <v>12</v>
      </c>
      <c r="M6" s="131"/>
      <c r="N6" s="99" t="s">
        <v>8</v>
      </c>
      <c r="O6" s="101" t="s">
        <v>19</v>
      </c>
      <c r="P6" s="102" t="s">
        <v>8</v>
      </c>
      <c r="Q6" s="99" t="s">
        <v>151</v>
      </c>
      <c r="R6" s="99" t="s">
        <v>15</v>
      </c>
      <c r="S6" s="100" t="s">
        <v>16</v>
      </c>
    </row>
    <row r="7" spans="1:19" ht="15" thickBot="1" x14ac:dyDescent="0.35">
      <c r="A7" s="20" t="s">
        <v>18</v>
      </c>
      <c r="B7" s="20" t="s">
        <v>2</v>
      </c>
      <c r="C7" s="20" t="s">
        <v>3</v>
      </c>
      <c r="D7" s="96" t="s">
        <v>4</v>
      </c>
      <c r="E7" s="97" t="s">
        <v>5</v>
      </c>
      <c r="F7" s="97" t="s">
        <v>6</v>
      </c>
      <c r="G7" s="97" t="s">
        <v>17</v>
      </c>
      <c r="H7" s="97" t="s">
        <v>204</v>
      </c>
      <c r="I7" s="97" t="s">
        <v>10</v>
      </c>
      <c r="J7" s="97" t="s">
        <v>11</v>
      </c>
      <c r="K7" s="97" t="s">
        <v>205</v>
      </c>
      <c r="L7" s="97" t="s">
        <v>10</v>
      </c>
      <c r="M7" s="97" t="s">
        <v>11</v>
      </c>
      <c r="N7" s="97" t="s">
        <v>206</v>
      </c>
      <c r="O7" s="97" t="s">
        <v>20</v>
      </c>
      <c r="P7" s="97" t="s">
        <v>207</v>
      </c>
      <c r="Q7" s="97" t="s">
        <v>208</v>
      </c>
      <c r="R7" s="97" t="s">
        <v>209</v>
      </c>
      <c r="S7" s="98" t="s">
        <v>210</v>
      </c>
    </row>
    <row r="8" spans="1:19" x14ac:dyDescent="0.3">
      <c r="A8" s="19" t="s">
        <v>154</v>
      </c>
      <c r="B8" t="s">
        <v>69</v>
      </c>
      <c r="C8">
        <v>2008</v>
      </c>
      <c r="D8" t="s">
        <v>70</v>
      </c>
      <c r="E8" s="13">
        <v>44.471887925373956</v>
      </c>
      <c r="F8" s="13">
        <v>67.404985061728823</v>
      </c>
      <c r="G8" s="13">
        <v>56.642320775210152</v>
      </c>
      <c r="H8">
        <f>IF(ROUNDUP(AVERAGE(E8:G8),0)&gt;50,50,ROUNDUP(AVERAGE(E8:G8),0))</f>
        <v>50</v>
      </c>
      <c r="I8" s="11">
        <v>2.1649308797014997</v>
      </c>
      <c r="J8" s="11">
        <v>2.1431533645876004</v>
      </c>
      <c r="K8" cm="1">
        <f t="array" ref="K8">CalNoteVit($I$6,C8,I8,J8)</f>
        <v>0</v>
      </c>
      <c r="L8" s="11">
        <v>5.7091992657658555</v>
      </c>
      <c r="M8" s="11">
        <v>5.9810805114499894</v>
      </c>
      <c r="N8" cm="1">
        <f t="array" ref="N8">CalNoteVit($L$6,C8,L8,M8)</f>
        <v>12</v>
      </c>
      <c r="O8" s="13">
        <v>1600</v>
      </c>
      <c r="P8" cm="1">
        <f t="array" ref="P8">CalNoteEndurance(O8)</f>
        <v>20</v>
      </c>
      <c r="Q8" s="13">
        <v>34</v>
      </c>
      <c r="R8" s="13">
        <v>59</v>
      </c>
      <c r="S8" s="13">
        <f>SUM(H8,K8,N8,P8,Q8,R8)</f>
        <v>175</v>
      </c>
    </row>
    <row r="9" spans="1:19" x14ac:dyDescent="0.3">
      <c r="A9" s="19" t="s">
        <v>89</v>
      </c>
      <c r="B9" t="s">
        <v>90</v>
      </c>
      <c r="C9">
        <v>2008</v>
      </c>
      <c r="D9" t="s">
        <v>91</v>
      </c>
      <c r="E9" s="13">
        <v>75.969372495542288</v>
      </c>
      <c r="F9" s="13">
        <v>57.379851312676813</v>
      </c>
      <c r="G9" s="13">
        <v>70.850627758107777</v>
      </c>
      <c r="H9">
        <f>IF(ROUNDUP(AVERAGE(E9:G9),0)&gt;50,50,ROUNDUP(AVERAGE(E9:G9),0))</f>
        <v>50</v>
      </c>
      <c r="I9" s="11">
        <v>2.0523189076788406</v>
      </c>
      <c r="J9" s="11">
        <v>1.9061595131613731</v>
      </c>
      <c r="K9" cm="1">
        <f t="array" ref="K9">CalNoteVit($I$6,C9,I9,J9)</f>
        <v>4</v>
      </c>
      <c r="L9" s="11">
        <v>5.3885023786162041</v>
      </c>
      <c r="M9" s="11">
        <v>6.0730878063387337</v>
      </c>
      <c r="N9" cm="1">
        <f t="array" ref="N9">CalNoteVit($L$6,C9,L9,M9)</f>
        <v>18</v>
      </c>
      <c r="O9" s="13">
        <v>970</v>
      </c>
      <c r="P9" cm="1">
        <f t="array" ref="P9">CalNoteEndurance(O9)</f>
        <v>15.25</v>
      </c>
      <c r="Q9" s="13">
        <v>12</v>
      </c>
      <c r="R9" s="13">
        <v>64</v>
      </c>
      <c r="S9" s="13">
        <f>SUM(H9,K9,N9,P9,Q9,R9)</f>
        <v>163.25</v>
      </c>
    </row>
    <row r="10" spans="1:19" x14ac:dyDescent="0.3">
      <c r="A10" s="19" t="s">
        <v>107</v>
      </c>
      <c r="B10" t="s">
        <v>108</v>
      </c>
      <c r="C10">
        <v>2008</v>
      </c>
      <c r="D10" t="s">
        <v>109</v>
      </c>
      <c r="E10" s="13">
        <v>14.466778551352872</v>
      </c>
      <c r="F10" s="13">
        <v>59.140093472202395</v>
      </c>
      <c r="G10" s="13">
        <v>88.06288091340987</v>
      </c>
      <c r="H10">
        <f>IF(ROUNDUP(AVERAGE(E10:G10),0)&gt;50,50,ROUNDUP(AVERAGE(E10:G10),0))</f>
        <v>50</v>
      </c>
      <c r="I10" s="11">
        <v>1.618799661904734</v>
      </c>
      <c r="J10" s="11">
        <v>1.6750262466658929</v>
      </c>
      <c r="K10" cm="1">
        <f t="array" ref="K10">CalNoteVit($I$6,C10,I10,J10)</f>
        <v>10</v>
      </c>
      <c r="L10" s="11">
        <v>6.339534879389281</v>
      </c>
      <c r="M10" s="11">
        <v>6.5440848906132612</v>
      </c>
      <c r="N10" cm="1">
        <f t="array" ref="N10">CalNoteVit($L$6,C10,L10,M10)</f>
        <v>0</v>
      </c>
      <c r="O10" s="13">
        <v>300</v>
      </c>
      <c r="P10" cm="1">
        <f t="array" ref="P10">CalNoteEndurance(O10)</f>
        <v>0</v>
      </c>
      <c r="Q10" s="13">
        <v>16</v>
      </c>
      <c r="R10" s="13">
        <v>40</v>
      </c>
      <c r="S10" s="13">
        <f>SUM(H10,K10,N10,P10,Q10,R10)</f>
        <v>116</v>
      </c>
    </row>
    <row r="11" spans="1:19" x14ac:dyDescent="0.3">
      <c r="A11" s="19" t="s">
        <v>120</v>
      </c>
      <c r="B11" t="s">
        <v>121</v>
      </c>
      <c r="C11">
        <v>2008</v>
      </c>
      <c r="D11" t="s">
        <v>94</v>
      </c>
      <c r="E11" s="13">
        <v>30.881422112880621</v>
      </c>
      <c r="F11" s="13">
        <v>44.853720906556553</v>
      </c>
      <c r="G11" s="13">
        <v>31.093543798183887</v>
      </c>
      <c r="H11">
        <f>IF(ROUNDUP(AVERAGE(E11:G11),0)&gt;50,50,ROUNDUP(AVERAGE(E11:G11),0))</f>
        <v>36</v>
      </c>
      <c r="I11" s="11">
        <v>2.0382594340902935</v>
      </c>
      <c r="J11" s="11">
        <v>1.9391425923764323</v>
      </c>
      <c r="K11" cm="1">
        <f t="array" ref="K11">CalNoteVit($I$6,C11,I11,J11)</f>
        <v>2</v>
      </c>
      <c r="L11" s="11">
        <v>6.7862649223920641</v>
      </c>
      <c r="M11" s="11">
        <v>5.9339538210275089</v>
      </c>
      <c r="N11" cm="1">
        <f t="array" ref="N11">CalNoteVit($L$6,C11,L11,M11)</f>
        <v>8</v>
      </c>
      <c r="O11" s="13">
        <v>680</v>
      </c>
      <c r="P11" cm="1">
        <f t="array" ref="P11">CalNoteEndurance(O11)</f>
        <v>8</v>
      </c>
      <c r="Q11" s="13">
        <v>17</v>
      </c>
      <c r="R11" s="13">
        <v>26</v>
      </c>
      <c r="S11" s="13">
        <f>SUM(H11,K11,N11,P11,Q11,R11)</f>
        <v>97</v>
      </c>
    </row>
  </sheetData>
  <sortState xmlns:xlrd2="http://schemas.microsoft.com/office/spreadsheetml/2017/richdata2" ref="A8:S11">
    <sortCondition descending="1" ref="S8"/>
  </sortState>
  <mergeCells count="6">
    <mergeCell ref="G3:K3"/>
    <mergeCell ref="I5:N5"/>
    <mergeCell ref="Q5:R5"/>
    <mergeCell ref="E6:G6"/>
    <mergeCell ref="I6:J6"/>
    <mergeCell ref="L6:M6"/>
  </mergeCells>
  <hyperlinks>
    <hyperlink ref="A8" location="$A$8" display="$A$8" xr:uid="{0136F082-3F83-46D9-9DA8-EC6D46B738FC}"/>
    <hyperlink ref="A9" location="$A$9" display="$A$9" xr:uid="{540E7A93-B865-4B52-BA62-AB11B5B91970}"/>
    <hyperlink ref="A10" location="$A$10" display="$A$10" xr:uid="{B44B92CA-95F5-43C1-B828-91DB93A6B110}"/>
    <hyperlink ref="A11" location="$A$11" display="$A$11" xr:uid="{CE33C935-877F-4D3C-BDBD-49BD3D1EFB0F}"/>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2E31F-3CD3-4986-BC81-31602D9F3AC4}">
  <sheetPr codeName="Feuil2"/>
  <dimension ref="A1:S1000"/>
  <sheetViews>
    <sheetView topLeftCell="G1" workbookViewId="0">
      <selection activeCell="A8" sqref="A8"/>
    </sheetView>
  </sheetViews>
  <sheetFormatPr baseColWidth="10" defaultRowHeight="14.4" x14ac:dyDescent="0.3"/>
  <cols>
    <col min="1" max="2" width="21.33203125" bestFit="1" customWidth="1"/>
    <col min="4" max="4" width="22.33203125" style="17" bestFit="1" customWidth="1"/>
    <col min="5" max="5" width="20" bestFit="1" customWidth="1"/>
    <col min="6" max="6" width="16.33203125" customWidth="1"/>
    <col min="7" max="7" width="15.6640625" customWidth="1"/>
    <col min="8" max="8" width="15" customWidth="1"/>
    <col min="9" max="9" width="14.33203125" customWidth="1"/>
    <col min="10" max="10" width="14.6640625" customWidth="1"/>
    <col min="11" max="11" width="15.33203125" customWidth="1"/>
    <col min="14" max="14" width="13.5546875" bestFit="1" customWidth="1"/>
    <col min="16" max="16" width="12.88671875" bestFit="1" customWidth="1"/>
    <col min="17" max="17" width="13.5546875" bestFit="1" customWidth="1"/>
    <col min="18" max="19" width="13" bestFit="1" customWidth="1"/>
  </cols>
  <sheetData>
    <row r="1" spans="1:19" x14ac:dyDescent="0.3">
      <c r="A1" s="2"/>
      <c r="B1" s="2"/>
      <c r="C1" s="2"/>
      <c r="D1" s="14"/>
      <c r="E1" s="2"/>
      <c r="F1" s="2"/>
      <c r="G1" s="2"/>
      <c r="H1" s="2"/>
      <c r="I1" s="2"/>
      <c r="J1" s="2"/>
      <c r="K1" s="2"/>
      <c r="L1" s="2"/>
      <c r="M1" s="2"/>
      <c r="N1" s="2"/>
      <c r="O1" s="2"/>
      <c r="P1" s="2"/>
      <c r="Q1" s="2"/>
      <c r="R1" s="2"/>
      <c r="S1" s="3"/>
    </row>
    <row r="2" spans="1:19" x14ac:dyDescent="0.3">
      <c r="A2" s="5"/>
      <c r="B2" s="5"/>
      <c r="C2" s="5"/>
      <c r="D2" s="15"/>
      <c r="E2" s="5"/>
      <c r="F2" s="5"/>
      <c r="G2" s="5"/>
      <c r="H2" s="5"/>
      <c r="I2" s="5"/>
      <c r="J2" s="5"/>
      <c r="K2" s="5"/>
      <c r="L2" s="5"/>
      <c r="M2" s="5"/>
      <c r="N2" s="5"/>
      <c r="O2" s="5"/>
      <c r="P2" s="5"/>
      <c r="Q2" s="5"/>
      <c r="R2" s="5"/>
      <c r="S2" s="6"/>
    </row>
    <row r="3" spans="1:19" ht="27.6" customHeight="1" x14ac:dyDescent="0.7">
      <c r="A3" s="5"/>
      <c r="B3" s="5"/>
      <c r="C3" s="5"/>
      <c r="D3" s="16" t="s">
        <v>0</v>
      </c>
      <c r="E3" s="8">
        <f ca="1">TODAY()</f>
        <v>45771</v>
      </c>
      <c r="F3" s="5"/>
      <c r="G3" s="129" t="s">
        <v>23</v>
      </c>
      <c r="H3" s="129"/>
      <c r="I3" s="129"/>
      <c r="J3" s="129"/>
      <c r="K3" s="129"/>
      <c r="L3" s="5"/>
      <c r="M3" s="5"/>
      <c r="N3" s="5"/>
      <c r="O3" s="5"/>
      <c r="P3" s="5"/>
      <c r="Q3" s="5"/>
      <c r="R3" s="5"/>
      <c r="S3" s="6"/>
    </row>
    <row r="4" spans="1:19" x14ac:dyDescent="0.3">
      <c r="A4" s="5"/>
      <c r="B4" s="5"/>
      <c r="C4" s="5"/>
      <c r="D4" s="15"/>
      <c r="E4" s="5"/>
      <c r="F4" s="5"/>
      <c r="G4" s="5"/>
      <c r="H4" s="5"/>
      <c r="I4" s="5"/>
      <c r="J4" s="5"/>
      <c r="K4" s="5"/>
      <c r="L4" s="5"/>
      <c r="M4" s="5"/>
      <c r="N4" s="5"/>
      <c r="O4" s="5"/>
      <c r="P4" s="5"/>
      <c r="Q4" s="5"/>
      <c r="R4" s="5"/>
      <c r="S4" s="6"/>
    </row>
    <row r="5" spans="1:19" x14ac:dyDescent="0.3">
      <c r="A5" s="5"/>
      <c r="B5" s="5"/>
      <c r="C5" s="5"/>
      <c r="D5" s="15"/>
      <c r="E5" s="5"/>
      <c r="F5" s="5"/>
      <c r="G5" s="9"/>
      <c r="H5" s="9"/>
      <c r="I5" s="130" t="s">
        <v>13</v>
      </c>
      <c r="J5" s="130"/>
      <c r="K5" s="130"/>
      <c r="L5" s="130"/>
      <c r="M5" s="130"/>
      <c r="N5" s="130"/>
      <c r="O5" s="9"/>
      <c r="P5" s="9"/>
      <c r="Q5" s="130" t="s">
        <v>21</v>
      </c>
      <c r="R5" s="130"/>
      <c r="S5" s="6"/>
    </row>
    <row r="6" spans="1:19" x14ac:dyDescent="0.3">
      <c r="A6" s="5"/>
      <c r="B6" s="5"/>
      <c r="C6" s="5"/>
      <c r="D6" s="15"/>
      <c r="E6" s="131" t="s">
        <v>7</v>
      </c>
      <c r="F6" s="131"/>
      <c r="G6" s="131"/>
      <c r="H6" s="99" t="s">
        <v>8</v>
      </c>
      <c r="I6" s="131" t="s">
        <v>9</v>
      </c>
      <c r="J6" s="131"/>
      <c r="K6" s="99" t="s">
        <v>8</v>
      </c>
      <c r="L6" s="131" t="s">
        <v>12</v>
      </c>
      <c r="M6" s="131"/>
      <c r="N6" s="99" t="s">
        <v>8</v>
      </c>
      <c r="O6" s="101" t="s">
        <v>19</v>
      </c>
      <c r="P6" s="102" t="s">
        <v>8</v>
      </c>
      <c r="Q6" s="99" t="s">
        <v>152</v>
      </c>
      <c r="R6" s="99" t="s">
        <v>15</v>
      </c>
      <c r="S6" s="100" t="s">
        <v>16</v>
      </c>
    </row>
    <row r="7" spans="1:19" ht="15" thickBot="1" x14ac:dyDescent="0.35">
      <c r="A7" s="20" t="s">
        <v>18</v>
      </c>
      <c r="B7" s="20" t="s">
        <v>2</v>
      </c>
      <c r="C7" s="20" t="s">
        <v>3</v>
      </c>
      <c r="D7" s="103" t="s">
        <v>4</v>
      </c>
      <c r="E7" s="97" t="s">
        <v>5</v>
      </c>
      <c r="F7" s="97" t="s">
        <v>6</v>
      </c>
      <c r="G7" s="97" t="s">
        <v>17</v>
      </c>
      <c r="H7" s="97" t="s">
        <v>204</v>
      </c>
      <c r="I7" s="97" t="s">
        <v>10</v>
      </c>
      <c r="J7" s="97" t="s">
        <v>11</v>
      </c>
      <c r="K7" s="97" t="s">
        <v>205</v>
      </c>
      <c r="L7" s="97" t="s">
        <v>10</v>
      </c>
      <c r="M7" s="97" t="s">
        <v>11</v>
      </c>
      <c r="N7" s="97" t="s">
        <v>206</v>
      </c>
      <c r="O7" s="97" t="s">
        <v>20</v>
      </c>
      <c r="P7" s="97" t="s">
        <v>207</v>
      </c>
      <c r="Q7" s="97" t="s">
        <v>208</v>
      </c>
      <c r="R7" s="97" t="s">
        <v>209</v>
      </c>
      <c r="S7" s="98" t="s">
        <v>210</v>
      </c>
    </row>
    <row r="8" spans="1:19" x14ac:dyDescent="0.3">
      <c r="A8" s="19" t="s">
        <v>155</v>
      </c>
      <c r="B8" t="s">
        <v>46</v>
      </c>
      <c r="C8">
        <v>2009</v>
      </c>
      <c r="D8" t="s">
        <v>47</v>
      </c>
      <c r="E8" s="13">
        <v>86</v>
      </c>
      <c r="F8" s="13">
        <v>45</v>
      </c>
      <c r="G8" s="13">
        <v>65</v>
      </c>
      <c r="H8" s="13">
        <f t="shared" ref="H8:H50" si="0">IF(ROUNDUP(AVERAGE(E8:G8),0)&gt;50,50,ROUNDUP(AVERAGE(E8:G8),0))</f>
        <v>50</v>
      </c>
      <c r="I8" s="11">
        <v>1.7673899006664269</v>
      </c>
      <c r="J8" s="11">
        <v>1.9342840776336219</v>
      </c>
      <c r="K8" s="13" cm="1">
        <f t="array" ref="K8">CalNoteVit($I$6,C8,I8,J8)</f>
        <v>10</v>
      </c>
      <c r="L8" s="11">
        <v>6.1085518495406443</v>
      </c>
      <c r="M8" s="11">
        <v>6.202660314181756</v>
      </c>
      <c r="N8" s="13" cm="1">
        <f t="array" ref="N8">CalNoteVit($L$6,C8,L8,M8)</f>
        <v>6</v>
      </c>
      <c r="O8" s="13">
        <v>1300</v>
      </c>
      <c r="P8" cm="1">
        <f t="array" ref="P8">CalNoteEndurance(O8)</f>
        <v>20</v>
      </c>
      <c r="Q8" s="13">
        <v>37</v>
      </c>
      <c r="R8" s="13">
        <v>98</v>
      </c>
      <c r="S8" s="13">
        <f t="shared" ref="S8:S50" si="1">SUM(H8,K8,N8,P8,Q8,R8)</f>
        <v>221</v>
      </c>
    </row>
    <row r="9" spans="1:19" x14ac:dyDescent="0.3">
      <c r="A9" s="19" t="s">
        <v>48</v>
      </c>
      <c r="B9" t="s">
        <v>43</v>
      </c>
      <c r="C9">
        <v>2009</v>
      </c>
      <c r="D9" t="s">
        <v>49</v>
      </c>
      <c r="E9" s="13">
        <v>91</v>
      </c>
      <c r="F9" s="13">
        <v>43</v>
      </c>
      <c r="G9" s="13">
        <v>31</v>
      </c>
      <c r="H9">
        <f t="shared" si="0"/>
        <v>50</v>
      </c>
      <c r="I9" s="11">
        <v>1.7597879558866145</v>
      </c>
      <c r="J9" s="11">
        <v>2.1605646882864127</v>
      </c>
      <c r="K9" s="13" cm="1">
        <f t="array" ref="K9">CalNoteVit($I$6,C9,I9,J9)</f>
        <v>10</v>
      </c>
      <c r="L9" s="11">
        <v>6.6388108481045114</v>
      </c>
      <c r="M9" s="11">
        <v>5.5397056349549016</v>
      </c>
      <c r="N9" cm="1">
        <f t="array" ref="N9">CalNoteVit($L$6,C9,L9,M9)</f>
        <v>18</v>
      </c>
      <c r="O9" s="13">
        <v>730</v>
      </c>
      <c r="P9" cm="1">
        <f t="array" ref="P9">CalNoteEndurance(O9)</f>
        <v>9.25</v>
      </c>
      <c r="Q9" s="13">
        <v>49</v>
      </c>
      <c r="R9" s="13">
        <v>83</v>
      </c>
      <c r="S9" s="13">
        <f t="shared" si="1"/>
        <v>219.25</v>
      </c>
    </row>
    <row r="10" spans="1:19" x14ac:dyDescent="0.3">
      <c r="A10" s="19" t="s">
        <v>50</v>
      </c>
      <c r="B10" t="s">
        <v>51</v>
      </c>
      <c r="C10">
        <v>2009</v>
      </c>
      <c r="D10" t="s">
        <v>52</v>
      </c>
      <c r="E10" s="13">
        <v>57</v>
      </c>
      <c r="F10" s="13">
        <v>57</v>
      </c>
      <c r="G10" s="13">
        <v>63</v>
      </c>
      <c r="H10">
        <f t="shared" si="0"/>
        <v>50</v>
      </c>
      <c r="I10" s="11">
        <v>1.8720801516890502</v>
      </c>
      <c r="J10" s="11">
        <v>1.6770542263132935</v>
      </c>
      <c r="K10" s="13" cm="1">
        <f t="array" ref="K10">CalNoteVit($I$6,C10,I10,J10)</f>
        <v>10</v>
      </c>
      <c r="L10" s="11">
        <v>5.6972583421180412</v>
      </c>
      <c r="M10" s="11">
        <v>5.7800199529400018</v>
      </c>
      <c r="N10" cm="1">
        <f t="array" ref="N10">CalNoteVit($L$6,C10,L10,M10)</f>
        <v>14</v>
      </c>
      <c r="O10" s="13">
        <v>590</v>
      </c>
      <c r="P10" cm="1">
        <f t="array" ref="P10">CalNoteEndurance(O10)</f>
        <v>5.75</v>
      </c>
      <c r="Q10" s="13">
        <v>41</v>
      </c>
      <c r="R10" s="13">
        <v>89</v>
      </c>
      <c r="S10" s="13">
        <f t="shared" si="1"/>
        <v>209.75</v>
      </c>
    </row>
    <row r="11" spans="1:19" x14ac:dyDescent="0.3">
      <c r="A11" s="19" t="s">
        <v>53</v>
      </c>
      <c r="B11" t="s">
        <v>54</v>
      </c>
      <c r="C11">
        <v>2009</v>
      </c>
      <c r="D11" t="s">
        <v>55</v>
      </c>
      <c r="E11" s="13">
        <v>39</v>
      </c>
      <c r="F11" s="13">
        <v>36</v>
      </c>
      <c r="G11" s="13">
        <v>44</v>
      </c>
      <c r="H11">
        <f t="shared" si="0"/>
        <v>40</v>
      </c>
      <c r="I11" s="11">
        <v>1.6597813265436911</v>
      </c>
      <c r="J11" s="11">
        <v>2.1113863485038795</v>
      </c>
      <c r="K11" s="13" cm="1">
        <f t="array" ref="K11">CalNoteVit($I$6,C11,I11,J11)</f>
        <v>10</v>
      </c>
      <c r="L11" s="11">
        <v>5.0787066615159402</v>
      </c>
      <c r="M11" s="11">
        <v>5.6512721523675058</v>
      </c>
      <c r="N11" cm="1">
        <f t="array" ref="N11">CalNoteVit($L$6,C11,L11,M11)</f>
        <v>20</v>
      </c>
      <c r="O11" s="13">
        <v>1020</v>
      </c>
      <c r="P11" cm="1">
        <f t="array" ref="P11">CalNoteEndurance(O11)</f>
        <v>16.5</v>
      </c>
      <c r="Q11" s="13">
        <v>41</v>
      </c>
      <c r="R11" s="13">
        <v>81</v>
      </c>
      <c r="S11" s="13">
        <f t="shared" si="1"/>
        <v>208.5</v>
      </c>
    </row>
    <row r="12" spans="1:19" x14ac:dyDescent="0.3">
      <c r="A12" s="19" t="s">
        <v>56</v>
      </c>
      <c r="B12" t="s">
        <v>57</v>
      </c>
      <c r="C12">
        <v>2009</v>
      </c>
      <c r="D12" t="s">
        <v>58</v>
      </c>
      <c r="E12" s="13">
        <v>95</v>
      </c>
      <c r="F12" s="13">
        <v>76</v>
      </c>
      <c r="G12" s="13">
        <v>41</v>
      </c>
      <c r="H12">
        <f t="shared" si="0"/>
        <v>50</v>
      </c>
      <c r="I12" s="11">
        <v>1.6087042489593966</v>
      </c>
      <c r="J12" s="11">
        <v>1.689509801441982</v>
      </c>
      <c r="K12" s="13" cm="1">
        <f t="array" ref="K12">CalNoteVit($I$6,C12,I12,J12)</f>
        <v>10</v>
      </c>
      <c r="L12" s="11">
        <v>5.9426008206503749</v>
      </c>
      <c r="M12" s="11">
        <v>5.1509614760675451</v>
      </c>
      <c r="N12" cm="1">
        <f t="array" ref="N12">CalNoteVit($L$6,C12,L12,M12)</f>
        <v>20</v>
      </c>
      <c r="O12" s="13">
        <v>770</v>
      </c>
      <c r="P12" cm="1">
        <f t="array" ref="P12">CalNoteEndurance(O12)</f>
        <v>10.25</v>
      </c>
      <c r="Q12" s="13">
        <v>33</v>
      </c>
      <c r="R12" s="13">
        <v>80</v>
      </c>
      <c r="S12" s="13">
        <f t="shared" si="1"/>
        <v>203.25</v>
      </c>
    </row>
    <row r="13" spans="1:19" x14ac:dyDescent="0.3">
      <c r="A13" s="19" t="s">
        <v>59</v>
      </c>
      <c r="B13" t="s">
        <v>60</v>
      </c>
      <c r="C13">
        <v>2009</v>
      </c>
      <c r="D13">
        <v>10</v>
      </c>
      <c r="E13" s="13">
        <v>59</v>
      </c>
      <c r="F13" s="13">
        <v>13</v>
      </c>
      <c r="G13" s="13">
        <v>67</v>
      </c>
      <c r="H13">
        <f t="shared" si="0"/>
        <v>47</v>
      </c>
      <c r="I13" s="11">
        <v>1.9903448930426872</v>
      </c>
      <c r="J13" s="11">
        <v>2.0291829152629535</v>
      </c>
      <c r="K13" s="13" cm="1">
        <f t="array" ref="K13">CalNoteVit($I$6,C13,I13,J13)</f>
        <v>0</v>
      </c>
      <c r="L13" s="11">
        <v>5.1687829146979336</v>
      </c>
      <c r="M13" s="11">
        <v>6.6707431190808757</v>
      </c>
      <c r="N13" cm="1">
        <f t="array" ref="N13">CalNoteVit($L$6,C13,L13,M13)</f>
        <v>20</v>
      </c>
      <c r="O13" s="13">
        <v>880</v>
      </c>
      <c r="P13" cm="1">
        <f t="array" ref="P13">CalNoteEndurance(O13)</f>
        <v>13</v>
      </c>
      <c r="Q13" s="13">
        <v>34</v>
      </c>
      <c r="R13" s="13">
        <v>84</v>
      </c>
      <c r="S13" s="13">
        <f t="shared" si="1"/>
        <v>198</v>
      </c>
    </row>
    <row r="14" spans="1:19" x14ac:dyDescent="0.3">
      <c r="A14" s="19" t="s">
        <v>61</v>
      </c>
      <c r="B14" t="s">
        <v>62</v>
      </c>
      <c r="C14">
        <v>2009</v>
      </c>
      <c r="D14" t="s">
        <v>63</v>
      </c>
      <c r="E14" s="13">
        <v>79</v>
      </c>
      <c r="F14" s="13">
        <v>29</v>
      </c>
      <c r="G14" s="13">
        <v>28</v>
      </c>
      <c r="H14">
        <f t="shared" si="0"/>
        <v>46</v>
      </c>
      <c r="I14" s="11">
        <v>1.77678021970086</v>
      </c>
      <c r="J14" s="11">
        <v>2.1803285267599941</v>
      </c>
      <c r="K14" s="13" cm="1">
        <f t="array" ref="K14">CalNoteVit($I$6,C14,I14,J14)</f>
        <v>10</v>
      </c>
      <c r="L14" s="11">
        <v>6.7121728495569197</v>
      </c>
      <c r="M14" s="11">
        <v>6.0218692809086498</v>
      </c>
      <c r="N14" cm="1">
        <f t="array" ref="N14">CalNoteVit($L$6,C14,L14,M14)</f>
        <v>8</v>
      </c>
      <c r="O14" s="13">
        <v>560</v>
      </c>
      <c r="P14" cm="1">
        <f t="array" ref="P14">CalNoteEndurance(O14)</f>
        <v>5</v>
      </c>
      <c r="Q14" s="13">
        <v>34</v>
      </c>
      <c r="R14" s="13">
        <v>94</v>
      </c>
      <c r="S14" s="13">
        <f t="shared" si="1"/>
        <v>197</v>
      </c>
    </row>
    <row r="15" spans="1:19" x14ac:dyDescent="0.3">
      <c r="A15" s="19" t="s">
        <v>64</v>
      </c>
      <c r="B15" t="s">
        <v>65</v>
      </c>
      <c r="C15">
        <v>2009</v>
      </c>
      <c r="D15" t="s">
        <v>66</v>
      </c>
      <c r="E15" s="13">
        <v>65</v>
      </c>
      <c r="F15" s="13">
        <v>16</v>
      </c>
      <c r="G15" s="13">
        <v>57</v>
      </c>
      <c r="H15">
        <f t="shared" si="0"/>
        <v>46</v>
      </c>
      <c r="I15" s="11">
        <v>1.8176220667911089</v>
      </c>
      <c r="J15" s="11">
        <v>2.007246559690655</v>
      </c>
      <c r="K15" s="13" cm="1">
        <f t="array" ref="K15">CalNoteVit($I$6,C15,I15,J15)</f>
        <v>8</v>
      </c>
      <c r="L15" s="11">
        <v>5.2053705836706952</v>
      </c>
      <c r="M15" s="11">
        <v>5.9188531939951012</v>
      </c>
      <c r="N15" cm="1">
        <f t="array" ref="N15">CalNoteVit($L$6,C15,L15,M15)</f>
        <v>20</v>
      </c>
      <c r="O15" s="13">
        <v>1080</v>
      </c>
      <c r="P15" cm="1">
        <f t="array" ref="P15">CalNoteEndurance(O15)</f>
        <v>18</v>
      </c>
      <c r="Q15" s="13">
        <v>18</v>
      </c>
      <c r="R15" s="13">
        <v>85</v>
      </c>
      <c r="S15" s="13">
        <f t="shared" si="1"/>
        <v>195</v>
      </c>
    </row>
    <row r="16" spans="1:19" x14ac:dyDescent="0.3">
      <c r="A16" s="19" t="s">
        <v>67</v>
      </c>
      <c r="B16" t="s">
        <v>65</v>
      </c>
      <c r="C16">
        <v>2009</v>
      </c>
      <c r="D16" t="s">
        <v>68</v>
      </c>
      <c r="E16" s="13">
        <v>46</v>
      </c>
      <c r="F16" s="13">
        <v>12</v>
      </c>
      <c r="G16" s="13">
        <v>25</v>
      </c>
      <c r="H16">
        <f t="shared" si="0"/>
        <v>28</v>
      </c>
      <c r="I16" s="11">
        <v>2.0720302054621267</v>
      </c>
      <c r="J16" s="11">
        <v>1.7235888809911815</v>
      </c>
      <c r="K16" s="13" cm="1">
        <f t="array" ref="K16">CalNoteVit($I$6,C16,I16,J16)</f>
        <v>10</v>
      </c>
      <c r="L16" s="11">
        <v>6.1930573118745968</v>
      </c>
      <c r="M16" s="11">
        <v>5.7797930187568998</v>
      </c>
      <c r="N16" cm="1">
        <f t="array" ref="N16">CalNoteVit($L$6,C16,L16,M16)</f>
        <v>12</v>
      </c>
      <c r="O16" s="13">
        <v>1160</v>
      </c>
      <c r="P16" cm="1">
        <f t="array" ref="P16">CalNoteEndurance(O16)</f>
        <v>20</v>
      </c>
      <c r="Q16" s="13">
        <v>35</v>
      </c>
      <c r="R16" s="13">
        <v>87</v>
      </c>
      <c r="S16" s="13">
        <f t="shared" si="1"/>
        <v>192</v>
      </c>
    </row>
    <row r="17" spans="1:19" x14ac:dyDescent="0.3">
      <c r="A17" s="19" t="s">
        <v>157</v>
      </c>
      <c r="B17" t="s">
        <v>43</v>
      </c>
      <c r="C17">
        <v>2009</v>
      </c>
      <c r="D17" t="s">
        <v>71</v>
      </c>
      <c r="E17" s="13">
        <v>60</v>
      </c>
      <c r="F17" s="13">
        <v>91</v>
      </c>
      <c r="G17" s="13">
        <v>27</v>
      </c>
      <c r="H17">
        <f t="shared" si="0"/>
        <v>50</v>
      </c>
      <c r="I17" s="11">
        <v>2.1569312543737169</v>
      </c>
      <c r="J17" s="11">
        <v>1.823281822768053</v>
      </c>
      <c r="K17" s="13" cm="1">
        <f t="array" ref="K17">CalNoteVit($I$6,C17,I17,J17)</f>
        <v>8</v>
      </c>
      <c r="L17" s="11">
        <v>5.6122850558486803</v>
      </c>
      <c r="M17" s="11">
        <v>6.3659148099836447</v>
      </c>
      <c r="N17" cm="1">
        <f t="array" ref="N17">CalNoteVit($L$6,C17,L17,M17)</f>
        <v>16</v>
      </c>
      <c r="O17" s="13">
        <v>550</v>
      </c>
      <c r="P17" cm="1">
        <f t="array" ref="P17">CalNoteEndurance(O17)</f>
        <v>4.75</v>
      </c>
      <c r="Q17" s="13">
        <v>33</v>
      </c>
      <c r="R17" s="13">
        <v>78</v>
      </c>
      <c r="S17" s="13">
        <f t="shared" si="1"/>
        <v>189.75</v>
      </c>
    </row>
    <row r="18" spans="1:19" x14ac:dyDescent="0.3">
      <c r="A18" s="19" t="s">
        <v>72</v>
      </c>
      <c r="B18" t="s">
        <v>73</v>
      </c>
      <c r="C18">
        <v>2009</v>
      </c>
      <c r="D18" t="s">
        <v>74</v>
      </c>
      <c r="E18" s="13">
        <v>62</v>
      </c>
      <c r="F18" s="13">
        <v>30</v>
      </c>
      <c r="G18" s="13">
        <v>71</v>
      </c>
      <c r="H18">
        <f t="shared" si="0"/>
        <v>50</v>
      </c>
      <c r="I18" s="11">
        <v>1.6776304349132853</v>
      </c>
      <c r="J18" s="11">
        <v>1.611110120384045</v>
      </c>
      <c r="K18" s="13" cm="1">
        <f t="array" ref="K18">CalNoteVit($I$6,C18,I18,J18)</f>
        <v>10</v>
      </c>
      <c r="L18" s="11">
        <v>5.4395349425923092</v>
      </c>
      <c r="M18" s="11">
        <v>5.4452761450351854</v>
      </c>
      <c r="N18" cm="1">
        <f t="array" ref="N18">CalNoteVit($L$6,C18,L18,M18)</f>
        <v>20</v>
      </c>
      <c r="O18" s="13">
        <v>560</v>
      </c>
      <c r="P18" cm="1">
        <f t="array" ref="P18">CalNoteEndurance(O18)</f>
        <v>5</v>
      </c>
      <c r="Q18" s="13">
        <v>37</v>
      </c>
      <c r="R18" s="13">
        <v>67</v>
      </c>
      <c r="S18" s="13">
        <f t="shared" si="1"/>
        <v>189</v>
      </c>
    </row>
    <row r="19" spans="1:19" x14ac:dyDescent="0.3">
      <c r="A19" s="19" t="s">
        <v>158</v>
      </c>
      <c r="B19" t="s">
        <v>75</v>
      </c>
      <c r="C19">
        <v>2009</v>
      </c>
      <c r="D19" t="s">
        <v>76</v>
      </c>
      <c r="E19" s="13">
        <v>61</v>
      </c>
      <c r="F19" s="13">
        <v>69</v>
      </c>
      <c r="G19" s="13">
        <v>77</v>
      </c>
      <c r="H19">
        <f t="shared" si="0"/>
        <v>50</v>
      </c>
      <c r="I19" s="11">
        <v>1.848262812139936</v>
      </c>
      <c r="J19" s="11">
        <v>1.8237584825596858</v>
      </c>
      <c r="K19" s="13" cm="1">
        <f t="array" ref="K19">CalNoteVit($I$6,C19,I19,J19)</f>
        <v>8</v>
      </c>
      <c r="L19" s="11">
        <v>5.1767227141914924</v>
      </c>
      <c r="M19" s="11">
        <v>5.4208756216296274</v>
      </c>
      <c r="N19" cm="1">
        <f t="array" ref="N19">CalNoteVit($L$6,C19,L19,M19)</f>
        <v>20</v>
      </c>
      <c r="O19" s="13">
        <v>760</v>
      </c>
      <c r="P19" cm="1">
        <f t="array" ref="P19">CalNoteEndurance(O19)</f>
        <v>10</v>
      </c>
      <c r="Q19" s="13">
        <v>21</v>
      </c>
      <c r="R19" s="13">
        <v>80</v>
      </c>
      <c r="S19" s="13">
        <f t="shared" si="1"/>
        <v>189</v>
      </c>
    </row>
    <row r="20" spans="1:19" x14ac:dyDescent="0.3">
      <c r="A20" s="19" t="s">
        <v>77</v>
      </c>
      <c r="B20" t="s">
        <v>78</v>
      </c>
      <c r="C20">
        <v>2009</v>
      </c>
      <c r="D20" t="s">
        <v>79</v>
      </c>
      <c r="E20" s="13">
        <v>66</v>
      </c>
      <c r="F20" s="13">
        <v>77</v>
      </c>
      <c r="G20" s="13">
        <v>30</v>
      </c>
      <c r="H20">
        <f t="shared" si="0"/>
        <v>50</v>
      </c>
      <c r="I20" s="11">
        <v>2.1715776642922884</v>
      </c>
      <c r="J20" s="11">
        <v>1.7436160508862408</v>
      </c>
      <c r="K20" s="13" cm="1">
        <f t="array" ref="K20">CalNoteVit($I$6,C20,I20,J20)</f>
        <v>10</v>
      </c>
      <c r="L20" s="11">
        <v>5.6817007679719245</v>
      </c>
      <c r="M20" s="11">
        <v>6.170234764821636</v>
      </c>
      <c r="N20" cm="1">
        <f t="array" ref="N20">CalNoteVit($L$6,C20,L20,M20)</f>
        <v>14</v>
      </c>
      <c r="O20" s="13">
        <v>680</v>
      </c>
      <c r="P20" cm="1">
        <f t="array" ref="P20">CalNoteEndurance(O20)</f>
        <v>8</v>
      </c>
      <c r="Q20" s="13">
        <v>31</v>
      </c>
      <c r="R20" s="13">
        <v>72</v>
      </c>
      <c r="S20" s="13">
        <f t="shared" si="1"/>
        <v>185</v>
      </c>
    </row>
    <row r="21" spans="1:19" x14ac:dyDescent="0.3">
      <c r="A21" s="19" t="s">
        <v>80</v>
      </c>
      <c r="B21" t="s">
        <v>75</v>
      </c>
      <c r="C21">
        <v>2009</v>
      </c>
      <c r="D21" t="s">
        <v>81</v>
      </c>
      <c r="E21" s="13">
        <v>94</v>
      </c>
      <c r="F21" s="13">
        <v>59</v>
      </c>
      <c r="G21" s="13">
        <v>27</v>
      </c>
      <c r="H21">
        <f t="shared" si="0"/>
        <v>50</v>
      </c>
      <c r="I21" s="11">
        <v>1.9534703995028408</v>
      </c>
      <c r="J21" s="11">
        <v>2.0781144569467274</v>
      </c>
      <c r="K21" s="13" cm="1">
        <f t="array" ref="K21">CalNoteVit($I$6,C21,I21,J21)</f>
        <v>2</v>
      </c>
      <c r="L21" s="11">
        <v>6.5931043203485498</v>
      </c>
      <c r="M21" s="11">
        <v>5.0792398156519036</v>
      </c>
      <c r="N21" cm="1">
        <f t="array" ref="N21">CalNoteVit($L$6,C21,L21,M21)</f>
        <v>20</v>
      </c>
      <c r="O21" s="13">
        <v>700</v>
      </c>
      <c r="P21" cm="1">
        <f t="array" ref="P21">CalNoteEndurance(O21)</f>
        <v>8.5</v>
      </c>
      <c r="Q21" s="13">
        <v>46</v>
      </c>
      <c r="R21" s="13">
        <v>55</v>
      </c>
      <c r="S21" s="13">
        <f t="shared" si="1"/>
        <v>181.5</v>
      </c>
    </row>
    <row r="22" spans="1:19" x14ac:dyDescent="0.3">
      <c r="A22" s="19" t="s">
        <v>82</v>
      </c>
      <c r="B22" t="s">
        <v>69</v>
      </c>
      <c r="C22">
        <v>2009</v>
      </c>
      <c r="D22" t="s">
        <v>83</v>
      </c>
      <c r="E22" s="13">
        <v>16</v>
      </c>
      <c r="F22" s="13">
        <v>23</v>
      </c>
      <c r="G22" s="13">
        <v>47</v>
      </c>
      <c r="H22">
        <f t="shared" si="0"/>
        <v>29</v>
      </c>
      <c r="I22" s="11">
        <v>1.8009983401464604</v>
      </c>
      <c r="J22" s="11">
        <v>1.6298395042724643</v>
      </c>
      <c r="K22" s="13" cm="1">
        <f t="array" ref="K22">CalNoteVit($I$6,C22,I22,J22)</f>
        <v>10</v>
      </c>
      <c r="L22" s="11">
        <v>6.4456475518255765</v>
      </c>
      <c r="M22" s="11">
        <v>5.3607427555570464</v>
      </c>
      <c r="N22" cm="1">
        <f t="array" ref="N22">CalNoteVit($L$6,C22,L22,M22)</f>
        <v>20</v>
      </c>
      <c r="O22" s="13">
        <v>960</v>
      </c>
      <c r="P22" cm="1">
        <f t="array" ref="P22">CalNoteEndurance(O22)</f>
        <v>15</v>
      </c>
      <c r="Q22" s="13">
        <v>12</v>
      </c>
      <c r="R22" s="13">
        <v>91</v>
      </c>
      <c r="S22" s="13">
        <f t="shared" si="1"/>
        <v>177</v>
      </c>
    </row>
    <row r="23" spans="1:19" x14ac:dyDescent="0.3">
      <c r="A23" s="19" t="s">
        <v>84</v>
      </c>
      <c r="B23" t="s">
        <v>85</v>
      </c>
      <c r="C23">
        <v>2009</v>
      </c>
      <c r="D23" t="s">
        <v>86</v>
      </c>
      <c r="E23" s="13">
        <v>48</v>
      </c>
      <c r="F23" s="13">
        <v>60</v>
      </c>
      <c r="G23" s="13">
        <v>86</v>
      </c>
      <c r="H23">
        <f t="shared" si="0"/>
        <v>50</v>
      </c>
      <c r="I23" s="11">
        <v>2.1515013328050276</v>
      </c>
      <c r="J23" s="11">
        <v>2.1823454057639715</v>
      </c>
      <c r="K23" s="13" cm="1">
        <f t="array" ref="K23">CalNoteVit($I$6,C23,I23,J23)</f>
        <v>0</v>
      </c>
      <c r="L23" s="11">
        <v>5.2126411685264777</v>
      </c>
      <c r="M23" s="11">
        <v>6.0739467990864693</v>
      </c>
      <c r="N23" cm="1">
        <f t="array" ref="N23">CalNoteVit($L$6,C23,L23,M23)</f>
        <v>20</v>
      </c>
      <c r="O23" s="13">
        <v>950</v>
      </c>
      <c r="P23" cm="1">
        <f t="array" ref="P23">CalNoteEndurance(O23)</f>
        <v>14.75</v>
      </c>
      <c r="Q23" s="13">
        <v>31</v>
      </c>
      <c r="R23" s="13">
        <v>61</v>
      </c>
      <c r="S23" s="13">
        <f t="shared" si="1"/>
        <v>176.75</v>
      </c>
    </row>
    <row r="24" spans="1:19" x14ac:dyDescent="0.3">
      <c r="A24" s="19" t="s">
        <v>87</v>
      </c>
      <c r="B24" t="s">
        <v>60</v>
      </c>
      <c r="C24">
        <v>2009</v>
      </c>
      <c r="D24"/>
      <c r="E24" s="13">
        <v>46</v>
      </c>
      <c r="F24" s="13">
        <v>98</v>
      </c>
      <c r="G24" s="13">
        <v>69</v>
      </c>
      <c r="H24">
        <f t="shared" si="0"/>
        <v>50</v>
      </c>
      <c r="I24" s="11">
        <v>1.8657388477552801</v>
      </c>
      <c r="J24" s="11">
        <v>1.9151075636349899</v>
      </c>
      <c r="K24" s="13" cm="1">
        <f t="array" ref="K24">CalNoteVit($I$6,C24,I24,J24)</f>
        <v>6</v>
      </c>
      <c r="L24" s="11">
        <v>6.4378502963741155</v>
      </c>
      <c r="M24" s="11">
        <v>6.7354873032658515</v>
      </c>
      <c r="N24" cm="1">
        <f t="array" ref="N24">CalNoteVit($L$6,C24,L24,M24)</f>
        <v>0</v>
      </c>
      <c r="O24" s="13">
        <v>1140</v>
      </c>
      <c r="P24" cm="1">
        <f t="array" ref="P24">CalNoteEndurance(O24)</f>
        <v>19.5</v>
      </c>
      <c r="Q24" s="13">
        <v>40</v>
      </c>
      <c r="R24" s="13">
        <v>61</v>
      </c>
      <c r="S24" s="13">
        <f t="shared" si="1"/>
        <v>176.5</v>
      </c>
    </row>
    <row r="25" spans="1:19" x14ac:dyDescent="0.3">
      <c r="A25" s="19" t="s">
        <v>159</v>
      </c>
      <c r="B25" t="s">
        <v>88</v>
      </c>
      <c r="C25">
        <v>2009</v>
      </c>
      <c r="D25" t="s">
        <v>86</v>
      </c>
      <c r="E25" s="13">
        <v>95</v>
      </c>
      <c r="F25" s="13">
        <v>98</v>
      </c>
      <c r="G25" s="13">
        <v>81</v>
      </c>
      <c r="H25">
        <f t="shared" si="0"/>
        <v>50</v>
      </c>
      <c r="I25" s="11">
        <v>1.6692317330029609</v>
      </c>
      <c r="J25" s="11">
        <v>1.9864300588088413</v>
      </c>
      <c r="K25" s="13" cm="1">
        <f t="array" ref="K25">CalNoteVit($I$6,C25,I25,J25)</f>
        <v>10</v>
      </c>
      <c r="L25" s="11">
        <v>5.1839957804582806</v>
      </c>
      <c r="M25" s="11">
        <v>6.5552210721858444</v>
      </c>
      <c r="N25" cm="1">
        <f t="array" ref="N25">CalNoteVit($L$6,C25,L25,M25)</f>
        <v>20</v>
      </c>
      <c r="O25" s="13">
        <v>1040</v>
      </c>
      <c r="P25" cm="1">
        <f t="array" ref="P25">CalNoteEndurance(O25)</f>
        <v>17</v>
      </c>
      <c r="Q25" s="13">
        <v>42</v>
      </c>
      <c r="R25" s="13">
        <v>37</v>
      </c>
      <c r="S25" s="13">
        <f t="shared" si="1"/>
        <v>176</v>
      </c>
    </row>
    <row r="26" spans="1:19" x14ac:dyDescent="0.3">
      <c r="A26" s="19" t="s">
        <v>92</v>
      </c>
      <c r="B26" t="s">
        <v>93</v>
      </c>
      <c r="C26">
        <v>2009</v>
      </c>
      <c r="D26" t="s">
        <v>94</v>
      </c>
      <c r="E26" s="13">
        <v>41</v>
      </c>
      <c r="F26" s="13">
        <v>59</v>
      </c>
      <c r="G26" s="13">
        <v>58</v>
      </c>
      <c r="H26">
        <f t="shared" si="0"/>
        <v>50</v>
      </c>
      <c r="I26" s="11">
        <v>1.7224214460169058</v>
      </c>
      <c r="J26" s="11">
        <v>1.6778373427698214</v>
      </c>
      <c r="K26" s="13" cm="1">
        <f t="array" ref="K26">CalNoteVit($I$6,C26,I26,J26)</f>
        <v>10</v>
      </c>
      <c r="L26" s="11">
        <v>5.6872551863616874</v>
      </c>
      <c r="M26" s="11">
        <v>6.0711514525006098</v>
      </c>
      <c r="N26" cm="1">
        <f t="array" ref="N26">CalNoteVit($L$6,C26,L26,M26)</f>
        <v>14</v>
      </c>
      <c r="O26" s="13">
        <v>430</v>
      </c>
      <c r="P26" cm="1">
        <f t="array" ref="P26">CalNoteEndurance(O26)</f>
        <v>1.75</v>
      </c>
      <c r="Q26" s="13">
        <v>24</v>
      </c>
      <c r="R26" s="13">
        <v>75</v>
      </c>
      <c r="S26" s="13">
        <f t="shared" si="1"/>
        <v>174.75</v>
      </c>
    </row>
    <row r="27" spans="1:19" x14ac:dyDescent="0.3">
      <c r="A27" s="19" t="s">
        <v>95</v>
      </c>
      <c r="B27" t="s">
        <v>96</v>
      </c>
      <c r="C27">
        <v>2009</v>
      </c>
      <c r="D27" t="s">
        <v>97</v>
      </c>
      <c r="E27" s="13">
        <v>14</v>
      </c>
      <c r="F27" s="13">
        <v>88</v>
      </c>
      <c r="G27" s="13">
        <v>86</v>
      </c>
      <c r="H27">
        <f t="shared" si="0"/>
        <v>50</v>
      </c>
      <c r="I27" s="11">
        <v>2.1092840619649791</v>
      </c>
      <c r="J27" s="11">
        <v>1.6624102421853704</v>
      </c>
      <c r="K27" s="13" cm="1">
        <f t="array" ref="K27">CalNoteVit($I$6,C27,I27,J27)</f>
        <v>10</v>
      </c>
      <c r="L27" s="11">
        <v>6.5869601506916293</v>
      </c>
      <c r="M27" s="11">
        <v>6.4243451462973598</v>
      </c>
      <c r="N27" cm="1">
        <f t="array" ref="N27">CalNoteVit($L$6,C27,L27,M27)</f>
        <v>0</v>
      </c>
      <c r="O27" s="13">
        <v>360</v>
      </c>
      <c r="P27" cm="1">
        <f t="array" ref="P27">CalNoteEndurance(O27)</f>
        <v>0</v>
      </c>
      <c r="Q27" s="13">
        <v>27</v>
      </c>
      <c r="R27" s="13">
        <v>86</v>
      </c>
      <c r="S27" s="13">
        <f t="shared" si="1"/>
        <v>173</v>
      </c>
    </row>
    <row r="28" spans="1:19" x14ac:dyDescent="0.3">
      <c r="A28" s="19" t="s">
        <v>98</v>
      </c>
      <c r="B28" t="s">
        <v>99</v>
      </c>
      <c r="C28">
        <v>2009</v>
      </c>
      <c r="D28" t="s">
        <v>100</v>
      </c>
      <c r="E28" s="13">
        <v>21</v>
      </c>
      <c r="F28" s="13">
        <v>35</v>
      </c>
      <c r="G28" s="13">
        <v>65</v>
      </c>
      <c r="H28">
        <f t="shared" si="0"/>
        <v>41</v>
      </c>
      <c r="I28" s="11">
        <v>1.6000367839468868</v>
      </c>
      <c r="J28" s="11">
        <v>1.8350669112642981</v>
      </c>
      <c r="K28" s="13" cm="1">
        <f t="array" ref="K28">CalNoteVit($I$6,C28,I28,J28)</f>
        <v>10</v>
      </c>
      <c r="L28" s="11">
        <v>6.3829870294295779</v>
      </c>
      <c r="M28" s="11">
        <v>5.7325016656380416</v>
      </c>
      <c r="N28" cm="1">
        <f t="array" ref="N28">CalNoteVit($L$6,C28,L28,M28)</f>
        <v>14</v>
      </c>
      <c r="O28" s="13">
        <v>510</v>
      </c>
      <c r="P28" cm="1">
        <f t="array" ref="P28">CalNoteEndurance(O28)</f>
        <v>3.75</v>
      </c>
      <c r="Q28" s="13">
        <v>12</v>
      </c>
      <c r="R28" s="13">
        <v>91</v>
      </c>
      <c r="S28" s="13">
        <f t="shared" si="1"/>
        <v>171.75</v>
      </c>
    </row>
    <row r="29" spans="1:19" x14ac:dyDescent="0.3">
      <c r="A29" s="19" t="s">
        <v>101</v>
      </c>
      <c r="B29" t="s">
        <v>102</v>
      </c>
      <c r="C29">
        <v>2009</v>
      </c>
      <c r="D29" t="s">
        <v>103</v>
      </c>
      <c r="E29" s="13">
        <v>68</v>
      </c>
      <c r="F29" s="13">
        <v>62</v>
      </c>
      <c r="G29" s="13">
        <v>39</v>
      </c>
      <c r="H29">
        <f t="shared" si="0"/>
        <v>50</v>
      </c>
      <c r="I29" s="11">
        <v>1.9572395195666372</v>
      </c>
      <c r="J29" s="11">
        <v>1.8243428048301062</v>
      </c>
      <c r="K29" s="13" cm="1">
        <f t="array" ref="K29">CalNoteVit($I$6,C29,I29,J29)</f>
        <v>8</v>
      </c>
      <c r="L29" s="11">
        <v>5.9495857497703</v>
      </c>
      <c r="M29" s="11">
        <v>5.1506476362773723</v>
      </c>
      <c r="N29" cm="1">
        <f t="array" ref="N29">CalNoteVit($L$6,C29,L29,M29)</f>
        <v>20</v>
      </c>
      <c r="O29" s="13">
        <v>970</v>
      </c>
      <c r="P29" cm="1">
        <f t="array" ref="P29">CalNoteEndurance(O29)</f>
        <v>15.25</v>
      </c>
      <c r="Q29" s="13">
        <v>15</v>
      </c>
      <c r="R29" s="13">
        <v>61</v>
      </c>
      <c r="S29" s="13">
        <f t="shared" si="1"/>
        <v>169.25</v>
      </c>
    </row>
    <row r="30" spans="1:19" x14ac:dyDescent="0.3">
      <c r="A30" s="19" t="s">
        <v>104</v>
      </c>
      <c r="B30" t="s">
        <v>105</v>
      </c>
      <c r="C30">
        <v>2009</v>
      </c>
      <c r="D30" t="s">
        <v>106</v>
      </c>
      <c r="E30" s="13">
        <v>66</v>
      </c>
      <c r="F30" s="13">
        <v>27</v>
      </c>
      <c r="G30" s="13">
        <v>34</v>
      </c>
      <c r="H30">
        <f t="shared" si="0"/>
        <v>43</v>
      </c>
      <c r="I30" s="11">
        <v>2.0030397234989219</v>
      </c>
      <c r="J30" s="11">
        <v>2.0966500297244104</v>
      </c>
      <c r="K30" s="13" cm="1">
        <f t="array" ref="K30">CalNoteVit($I$6,C30,I30,J30)</f>
        <v>0</v>
      </c>
      <c r="L30" s="11">
        <v>6.6592788468386663</v>
      </c>
      <c r="M30" s="11">
        <v>6.7498577642071584</v>
      </c>
      <c r="N30" cm="1">
        <f t="array" ref="N30">CalNoteVit($L$6,C30,L30,M30)</f>
        <v>0</v>
      </c>
      <c r="O30" s="13">
        <v>330</v>
      </c>
      <c r="P30" cm="1">
        <f t="array" ref="P30">CalNoteEndurance(O30)</f>
        <v>0</v>
      </c>
      <c r="Q30" s="13">
        <v>49</v>
      </c>
      <c r="R30" s="13">
        <v>74</v>
      </c>
      <c r="S30" s="13">
        <f t="shared" si="1"/>
        <v>166</v>
      </c>
    </row>
    <row r="31" spans="1:19" x14ac:dyDescent="0.3">
      <c r="A31" s="19" t="s">
        <v>110</v>
      </c>
      <c r="B31" t="s">
        <v>111</v>
      </c>
      <c r="C31">
        <v>2009</v>
      </c>
      <c r="D31" t="s">
        <v>112</v>
      </c>
      <c r="E31" s="13">
        <v>26</v>
      </c>
      <c r="F31" s="13">
        <v>22</v>
      </c>
      <c r="G31" s="13">
        <v>92</v>
      </c>
      <c r="H31">
        <f t="shared" si="0"/>
        <v>47</v>
      </c>
      <c r="I31" s="11">
        <v>1.6325958662075826</v>
      </c>
      <c r="J31" s="11">
        <v>1.613714382717947</v>
      </c>
      <c r="K31" s="13" cm="1">
        <f t="array" ref="K31">CalNoteVit($I$6,C31,I31,J31)</f>
        <v>10</v>
      </c>
      <c r="L31" s="11">
        <v>6.4400757480902246</v>
      </c>
      <c r="M31" s="11">
        <v>5.4581481328923136</v>
      </c>
      <c r="N31" cm="1">
        <f t="array" ref="N31">CalNoteVit($L$6,C31,L31,M31)</f>
        <v>18</v>
      </c>
      <c r="O31" s="13">
        <v>440</v>
      </c>
      <c r="P31" cm="1">
        <f t="array" ref="P31">CalNoteEndurance(O31)</f>
        <v>2</v>
      </c>
      <c r="Q31" s="13">
        <v>31</v>
      </c>
      <c r="R31" s="13">
        <v>57</v>
      </c>
      <c r="S31" s="13">
        <f t="shared" si="1"/>
        <v>165</v>
      </c>
    </row>
    <row r="32" spans="1:19" x14ac:dyDescent="0.3">
      <c r="A32" s="19" t="s">
        <v>113</v>
      </c>
      <c r="B32" t="s">
        <v>114</v>
      </c>
      <c r="C32">
        <v>2009</v>
      </c>
      <c r="D32" t="s">
        <v>115</v>
      </c>
      <c r="E32" s="13">
        <v>83</v>
      </c>
      <c r="F32" s="13">
        <v>39</v>
      </c>
      <c r="G32" s="13">
        <v>81</v>
      </c>
      <c r="H32">
        <f t="shared" si="0"/>
        <v>50</v>
      </c>
      <c r="I32" s="11">
        <v>2.0156144043060951</v>
      </c>
      <c r="J32" s="11">
        <v>1.9299054038493109</v>
      </c>
      <c r="K32" s="13" cm="1">
        <f t="array" ref="K32">CalNoteVit($I$6,C32,I32,J32)</f>
        <v>4</v>
      </c>
      <c r="L32" s="11">
        <v>5.6449714598246326</v>
      </c>
      <c r="M32" s="11">
        <v>6.3260885536709237</v>
      </c>
      <c r="N32" cm="1">
        <f t="array" ref="N32">CalNoteVit($L$6,C32,L32,M32)</f>
        <v>16</v>
      </c>
      <c r="O32" s="13">
        <v>340</v>
      </c>
      <c r="P32" cm="1">
        <f t="array" ref="P32">CalNoteEndurance(O32)</f>
        <v>0</v>
      </c>
      <c r="Q32" s="13">
        <v>32</v>
      </c>
      <c r="R32" s="13">
        <v>54</v>
      </c>
      <c r="S32" s="13">
        <f t="shared" si="1"/>
        <v>156</v>
      </c>
    </row>
    <row r="33" spans="1:19" x14ac:dyDescent="0.3">
      <c r="A33" s="19" t="s">
        <v>116</v>
      </c>
      <c r="B33" t="s">
        <v>45</v>
      </c>
      <c r="C33">
        <v>2009</v>
      </c>
      <c r="D33" t="s">
        <v>117</v>
      </c>
      <c r="E33" s="13">
        <v>25</v>
      </c>
      <c r="F33" s="13">
        <v>92</v>
      </c>
      <c r="G33" s="13">
        <v>77</v>
      </c>
      <c r="H33">
        <f t="shared" si="0"/>
        <v>50</v>
      </c>
      <c r="I33" s="11">
        <v>1.6946125712924729</v>
      </c>
      <c r="J33" s="11">
        <v>2.1123169336082044</v>
      </c>
      <c r="K33" s="13" cm="1">
        <f t="array" ref="K33">CalNoteVit($I$6,C33,I33,J33)</f>
        <v>10</v>
      </c>
      <c r="L33" s="11">
        <v>5.4557258973987111</v>
      </c>
      <c r="M33" s="11">
        <v>6.2509097154686781</v>
      </c>
      <c r="N33" cm="1">
        <f t="array" ref="N33">CalNoteVit($L$6,C33,L33,M33)</f>
        <v>18</v>
      </c>
      <c r="O33" s="13">
        <v>770</v>
      </c>
      <c r="P33" cm="1">
        <f t="array" ref="P33">CalNoteEndurance(O33)</f>
        <v>10.25</v>
      </c>
      <c r="Q33" s="13">
        <v>12</v>
      </c>
      <c r="R33" s="13">
        <v>54</v>
      </c>
      <c r="S33" s="13">
        <f t="shared" si="1"/>
        <v>154.25</v>
      </c>
    </row>
    <row r="34" spans="1:19" x14ac:dyDescent="0.3">
      <c r="A34" s="19" t="s">
        <v>118</v>
      </c>
      <c r="B34" t="s">
        <v>119</v>
      </c>
      <c r="C34">
        <v>2009</v>
      </c>
      <c r="D34" t="s">
        <v>94</v>
      </c>
      <c r="E34" s="13">
        <v>86</v>
      </c>
      <c r="F34" s="13">
        <v>21</v>
      </c>
      <c r="G34" s="13">
        <v>46</v>
      </c>
      <c r="H34">
        <f t="shared" si="0"/>
        <v>50</v>
      </c>
      <c r="I34" s="11">
        <v>1.778797339221585</v>
      </c>
      <c r="J34" s="11">
        <v>1.8891563140559093</v>
      </c>
      <c r="K34" s="13" cm="1">
        <f t="array" ref="K34">CalNoteVit($I$6,C34,I34,J34)</f>
        <v>10</v>
      </c>
      <c r="L34" s="11">
        <v>6.1954492619684851</v>
      </c>
      <c r="M34" s="11">
        <v>6.7447180331773051</v>
      </c>
      <c r="N34" cm="1">
        <f t="array" ref="N34">CalNoteVit($L$6,C34,L34,M34)</f>
        <v>4</v>
      </c>
      <c r="O34" s="13">
        <v>640</v>
      </c>
      <c r="P34" cm="1">
        <f t="array" ref="P34">CalNoteEndurance(O34)</f>
        <v>7</v>
      </c>
      <c r="Q34" s="13">
        <v>32</v>
      </c>
      <c r="R34" s="13">
        <v>48</v>
      </c>
      <c r="S34" s="13">
        <f t="shared" si="1"/>
        <v>151</v>
      </c>
    </row>
    <row r="35" spans="1:19" x14ac:dyDescent="0.3">
      <c r="A35" s="19" t="s">
        <v>122</v>
      </c>
      <c r="B35" t="s">
        <v>123</v>
      </c>
      <c r="C35">
        <v>2009</v>
      </c>
      <c r="D35" t="s">
        <v>94</v>
      </c>
      <c r="E35" s="13">
        <v>30</v>
      </c>
      <c r="F35" s="13">
        <v>23</v>
      </c>
      <c r="G35" s="13">
        <v>95</v>
      </c>
      <c r="H35">
        <f t="shared" si="0"/>
        <v>50</v>
      </c>
      <c r="I35" s="11">
        <v>1.8567549868246427</v>
      </c>
      <c r="J35" s="11">
        <v>1.7733237842868597</v>
      </c>
      <c r="K35" s="13" cm="1">
        <f t="array" ref="K35">CalNoteVit($I$6,C35,I35,J35)</f>
        <v>10</v>
      </c>
      <c r="L35" s="11">
        <v>6.6529688594331748</v>
      </c>
      <c r="M35" s="11">
        <v>5.3448230154881475</v>
      </c>
      <c r="N35" cm="1">
        <f t="array" ref="N35">CalNoteVit($L$6,C35,L35,M35)</f>
        <v>20</v>
      </c>
      <c r="O35" s="13">
        <v>1040</v>
      </c>
      <c r="P35" cm="1">
        <f t="array" ref="P35">CalNoteEndurance(O35)</f>
        <v>17</v>
      </c>
      <c r="Q35" s="13">
        <v>27</v>
      </c>
      <c r="R35" s="13">
        <v>22</v>
      </c>
      <c r="S35" s="13">
        <f t="shared" si="1"/>
        <v>146</v>
      </c>
    </row>
    <row r="36" spans="1:19" x14ac:dyDescent="0.3">
      <c r="A36" s="19" t="s">
        <v>124</v>
      </c>
      <c r="B36" t="s">
        <v>125</v>
      </c>
      <c r="C36">
        <v>2009</v>
      </c>
      <c r="D36">
        <v>10</v>
      </c>
      <c r="E36" s="13">
        <v>98</v>
      </c>
      <c r="F36" s="13">
        <v>89</v>
      </c>
      <c r="G36" s="13">
        <v>59</v>
      </c>
      <c r="H36">
        <f t="shared" si="0"/>
        <v>50</v>
      </c>
      <c r="I36" s="11">
        <v>1.656151130317115</v>
      </c>
      <c r="J36" s="11">
        <v>1.6254989710304015</v>
      </c>
      <c r="K36" s="13" cm="1">
        <f t="array" ref="K36">CalNoteVit($I$6,C36,I36,J36)</f>
        <v>10</v>
      </c>
      <c r="L36" s="11">
        <v>6.4370707262974118</v>
      </c>
      <c r="M36" s="11">
        <v>6.0461126801979104</v>
      </c>
      <c r="N36" cm="1">
        <f t="array" ref="N36">CalNoteVit($L$6,C36,L36,M36)</f>
        <v>8</v>
      </c>
      <c r="O36" s="13">
        <v>810</v>
      </c>
      <c r="P36" cm="1">
        <f t="array" ref="P36">CalNoteEndurance(O36)</f>
        <v>11.25</v>
      </c>
      <c r="Q36" s="13">
        <v>33</v>
      </c>
      <c r="R36" s="13">
        <v>32</v>
      </c>
      <c r="S36" s="13">
        <f t="shared" si="1"/>
        <v>144.25</v>
      </c>
    </row>
    <row r="37" spans="1:19" x14ac:dyDescent="0.3">
      <c r="A37" s="19" t="s">
        <v>126</v>
      </c>
      <c r="B37" t="s">
        <v>57</v>
      </c>
      <c r="C37">
        <v>2009</v>
      </c>
      <c r="D37" t="s">
        <v>100</v>
      </c>
      <c r="E37" s="13">
        <v>45</v>
      </c>
      <c r="F37" s="13">
        <v>73</v>
      </c>
      <c r="G37" s="13">
        <v>24</v>
      </c>
      <c r="H37">
        <f t="shared" si="0"/>
        <v>48</v>
      </c>
      <c r="I37" s="11">
        <v>2.0661373542075623</v>
      </c>
      <c r="J37" s="11">
        <v>2.1637338148079417</v>
      </c>
      <c r="K37" s="13" cm="1">
        <f t="array" ref="K37">CalNoteVit($I$6,C37,I37,J37)</f>
        <v>0</v>
      </c>
      <c r="L37" s="11">
        <v>5.7593758883456774</v>
      </c>
      <c r="M37" s="11">
        <v>6.4512317088623812</v>
      </c>
      <c r="N37" cm="1">
        <f t="array" ref="N37">CalNoteVit($L$6,C37,L37,M37)</f>
        <v>0</v>
      </c>
      <c r="O37" s="13">
        <v>580</v>
      </c>
      <c r="P37" cm="1">
        <f t="array" ref="P37">CalNoteEndurance(O37)</f>
        <v>5.5</v>
      </c>
      <c r="Q37" s="13">
        <v>45</v>
      </c>
      <c r="R37" s="13">
        <v>43</v>
      </c>
      <c r="S37" s="13">
        <f t="shared" si="1"/>
        <v>141.5</v>
      </c>
    </row>
    <row r="38" spans="1:19" x14ac:dyDescent="0.3">
      <c r="A38" s="19" t="s">
        <v>127</v>
      </c>
      <c r="B38" t="s">
        <v>128</v>
      </c>
      <c r="C38">
        <v>2009</v>
      </c>
      <c r="D38" t="s">
        <v>63</v>
      </c>
      <c r="E38" s="13">
        <v>76</v>
      </c>
      <c r="F38" s="13">
        <v>84</v>
      </c>
      <c r="G38" s="13">
        <v>52</v>
      </c>
      <c r="H38">
        <f t="shared" si="0"/>
        <v>50</v>
      </c>
      <c r="I38" s="11">
        <v>1.7122410649473727</v>
      </c>
      <c r="J38" s="11">
        <v>2.1667234219102123</v>
      </c>
      <c r="K38" s="13" cm="1">
        <f t="array" ref="K38">CalNoteVit($I$6,C38,I38,J38)</f>
        <v>10</v>
      </c>
      <c r="L38" s="11">
        <v>5.9180580787216259</v>
      </c>
      <c r="M38" s="11">
        <v>5.1781450726227414</v>
      </c>
      <c r="N38" cm="1">
        <f t="array" ref="N38">CalNoteVit($L$6,C38,L38,M38)</f>
        <v>20</v>
      </c>
      <c r="O38" s="13">
        <v>680</v>
      </c>
      <c r="P38" cm="1">
        <f t="array" ref="P38">CalNoteEndurance(O38)</f>
        <v>8</v>
      </c>
      <c r="Q38" s="13">
        <v>19</v>
      </c>
      <c r="R38" s="13">
        <v>32</v>
      </c>
      <c r="S38" s="13">
        <f t="shared" si="1"/>
        <v>139</v>
      </c>
    </row>
    <row r="39" spans="1:19" x14ac:dyDescent="0.3">
      <c r="A39" s="19" t="s">
        <v>129</v>
      </c>
      <c r="B39" t="s">
        <v>130</v>
      </c>
      <c r="C39">
        <v>2009</v>
      </c>
      <c r="D39" t="s">
        <v>131</v>
      </c>
      <c r="E39" s="13">
        <v>60</v>
      </c>
      <c r="F39" s="13">
        <v>61</v>
      </c>
      <c r="G39" s="13">
        <v>18</v>
      </c>
      <c r="H39">
        <f t="shared" si="0"/>
        <v>47</v>
      </c>
      <c r="I39" s="11">
        <v>1.9139908781669395</v>
      </c>
      <c r="J39" s="11">
        <v>1.6718291913548116</v>
      </c>
      <c r="K39" s="13" cm="1">
        <f t="array" ref="K39">CalNoteVit($I$6,C39,I39,J39)</f>
        <v>10</v>
      </c>
      <c r="L39" s="11">
        <v>5.2899806515645338</v>
      </c>
      <c r="M39" s="11">
        <v>5.2615066972577642</v>
      </c>
      <c r="N39" cm="1">
        <f t="array" ref="N39">CalNoteVit($L$6,C39,L39,M39)</f>
        <v>20</v>
      </c>
      <c r="O39" s="13">
        <v>310</v>
      </c>
      <c r="P39" cm="1">
        <f t="array" ref="P39">CalNoteEndurance(O39)</f>
        <v>0</v>
      </c>
      <c r="Q39" s="13">
        <v>39</v>
      </c>
      <c r="R39" s="13">
        <v>22</v>
      </c>
      <c r="S39" s="13">
        <f t="shared" si="1"/>
        <v>138</v>
      </c>
    </row>
    <row r="40" spans="1:19" x14ac:dyDescent="0.3">
      <c r="A40" s="19" t="s">
        <v>132</v>
      </c>
      <c r="B40" t="s">
        <v>133</v>
      </c>
      <c r="C40">
        <v>2009</v>
      </c>
      <c r="D40" t="s">
        <v>94</v>
      </c>
      <c r="E40" s="13">
        <v>80</v>
      </c>
      <c r="F40" s="13">
        <v>30</v>
      </c>
      <c r="G40" s="13">
        <v>91</v>
      </c>
      <c r="H40">
        <f t="shared" si="0"/>
        <v>50</v>
      </c>
      <c r="I40" s="11">
        <v>1.9206245452884116</v>
      </c>
      <c r="J40" s="11">
        <v>1.9750013309809187</v>
      </c>
      <c r="K40" s="13" cm="1">
        <f t="array" ref="K40">CalNoteVit($I$6,C40,I40,J40)</f>
        <v>4</v>
      </c>
      <c r="L40" s="11">
        <v>5.0638583851568137</v>
      </c>
      <c r="M40" s="11">
        <v>5.4159666084785592</v>
      </c>
      <c r="N40" cm="1">
        <f t="array" ref="N40">CalNoteVit($L$6,C40,L40,M40)</f>
        <v>20</v>
      </c>
      <c r="O40" s="13">
        <v>700</v>
      </c>
      <c r="P40" cm="1">
        <f t="array" ref="P40">CalNoteEndurance(O40)</f>
        <v>8.5</v>
      </c>
      <c r="Q40" s="13">
        <v>35</v>
      </c>
      <c r="R40" s="13">
        <v>20</v>
      </c>
      <c r="S40" s="13">
        <f t="shared" si="1"/>
        <v>137.5</v>
      </c>
    </row>
    <row r="41" spans="1:19" x14ac:dyDescent="0.3">
      <c r="A41" s="19" t="s">
        <v>134</v>
      </c>
      <c r="B41" t="s">
        <v>123</v>
      </c>
      <c r="C41">
        <v>2009</v>
      </c>
      <c r="D41">
        <v>10</v>
      </c>
      <c r="E41" s="13">
        <v>90</v>
      </c>
      <c r="F41" s="13">
        <v>89</v>
      </c>
      <c r="G41" s="13">
        <v>27</v>
      </c>
      <c r="H41">
        <f t="shared" si="0"/>
        <v>50</v>
      </c>
      <c r="I41" s="11">
        <v>1.6894927613081558</v>
      </c>
      <c r="J41" s="11">
        <v>1.7359817214867752</v>
      </c>
      <c r="K41" s="13" cm="1">
        <f t="array" ref="K41">CalNoteVit($I$6,C41,I41,J41)</f>
        <v>10</v>
      </c>
      <c r="L41" s="11">
        <v>6.5684615313573564</v>
      </c>
      <c r="M41" s="11">
        <v>5.8600251167507373</v>
      </c>
      <c r="N41" cm="1">
        <f t="array" ref="N41">CalNoteVit($L$6,C41,L41,M41)</f>
        <v>10</v>
      </c>
      <c r="O41" s="13">
        <v>690</v>
      </c>
      <c r="P41" cm="1">
        <f t="array" ref="P41">CalNoteEndurance(O41)</f>
        <v>8.25</v>
      </c>
      <c r="Q41" s="13">
        <v>21</v>
      </c>
      <c r="R41" s="13">
        <v>35</v>
      </c>
      <c r="S41" s="13">
        <f t="shared" si="1"/>
        <v>134.25</v>
      </c>
    </row>
    <row r="42" spans="1:19" x14ac:dyDescent="0.3">
      <c r="A42" s="19" t="s">
        <v>135</v>
      </c>
      <c r="B42" t="s">
        <v>85</v>
      </c>
      <c r="C42">
        <v>2009</v>
      </c>
      <c r="D42" t="s">
        <v>136</v>
      </c>
      <c r="E42" s="13">
        <v>13</v>
      </c>
      <c r="F42" s="13">
        <v>64</v>
      </c>
      <c r="G42" s="13">
        <v>52</v>
      </c>
      <c r="H42">
        <f t="shared" si="0"/>
        <v>43</v>
      </c>
      <c r="I42" s="11">
        <v>1.9482195928011341</v>
      </c>
      <c r="J42" s="11">
        <v>2.1882056933999396</v>
      </c>
      <c r="K42" s="13" cm="1">
        <f t="array" ref="K42">CalNoteVit($I$6,C42,I42,J42)</f>
        <v>2</v>
      </c>
      <c r="L42" s="11">
        <v>6.4158218510338578</v>
      </c>
      <c r="M42" s="11">
        <v>6.1931551077369287</v>
      </c>
      <c r="N42" cm="1">
        <f t="array" ref="N42">CalNoteVit($L$6,C42,L42,M42)</f>
        <v>4</v>
      </c>
      <c r="O42" s="13">
        <v>800</v>
      </c>
      <c r="P42" cm="1">
        <f t="array" ref="P42">CalNoteEndurance(O42)</f>
        <v>11</v>
      </c>
      <c r="Q42" s="13">
        <v>41</v>
      </c>
      <c r="R42" s="13">
        <v>33</v>
      </c>
      <c r="S42" s="13">
        <f t="shared" si="1"/>
        <v>134</v>
      </c>
    </row>
    <row r="43" spans="1:19" x14ac:dyDescent="0.3">
      <c r="A43" s="19" t="s">
        <v>137</v>
      </c>
      <c r="B43" t="s">
        <v>43</v>
      </c>
      <c r="C43">
        <v>2009</v>
      </c>
      <c r="D43" t="s">
        <v>55</v>
      </c>
      <c r="E43" s="13">
        <v>49</v>
      </c>
      <c r="F43" s="13">
        <v>78</v>
      </c>
      <c r="G43" s="13">
        <v>44</v>
      </c>
      <c r="H43">
        <f t="shared" si="0"/>
        <v>50</v>
      </c>
      <c r="I43" s="11">
        <v>1.6664390938219953</v>
      </c>
      <c r="J43" s="11">
        <v>1.9432353573823038</v>
      </c>
      <c r="K43" s="13" cm="1">
        <f t="array" ref="K43">CalNoteVit($I$6,C43,I43,J43)</f>
        <v>10</v>
      </c>
      <c r="L43" s="11">
        <v>5.9790023630448275</v>
      </c>
      <c r="M43" s="11">
        <v>6.48361671701839</v>
      </c>
      <c r="N43" cm="1">
        <f t="array" ref="N43">CalNoteVit($L$6,C43,L43,M43)</f>
        <v>8</v>
      </c>
      <c r="O43" s="13">
        <v>910</v>
      </c>
      <c r="P43" cm="1">
        <f t="array" ref="P43">CalNoteEndurance(O43)</f>
        <v>13.75</v>
      </c>
      <c r="Q43" s="13">
        <v>23</v>
      </c>
      <c r="R43" s="13">
        <v>29</v>
      </c>
      <c r="S43" s="13">
        <f t="shared" si="1"/>
        <v>133.75</v>
      </c>
    </row>
    <row r="44" spans="1:19" x14ac:dyDescent="0.3">
      <c r="A44" s="19" t="s">
        <v>138</v>
      </c>
      <c r="B44" t="s">
        <v>43</v>
      </c>
      <c r="C44">
        <v>2009</v>
      </c>
      <c r="D44" t="s">
        <v>139</v>
      </c>
      <c r="E44" s="13">
        <v>43</v>
      </c>
      <c r="F44" s="13">
        <v>67</v>
      </c>
      <c r="G44" s="13">
        <v>66</v>
      </c>
      <c r="H44">
        <f t="shared" si="0"/>
        <v>50</v>
      </c>
      <c r="I44" s="11">
        <v>2.1728964221342113</v>
      </c>
      <c r="J44" s="11">
        <v>1.9603448253398696</v>
      </c>
      <c r="K44" s="13" cm="1">
        <f t="array" ref="K44">CalNoteVit($I$6,C44,I44,J44)</f>
        <v>2</v>
      </c>
      <c r="L44" s="11">
        <v>6.3449225853681446</v>
      </c>
      <c r="M44" s="11">
        <v>6.1573086156616359</v>
      </c>
      <c r="N44" cm="1">
        <f t="array" ref="N44">CalNoteVit($L$6,C44,L44,M44)</f>
        <v>0</v>
      </c>
      <c r="O44" s="13">
        <v>640</v>
      </c>
      <c r="P44" cm="1">
        <f t="array" ref="P44">CalNoteEndurance(O44)</f>
        <v>7</v>
      </c>
      <c r="Q44" s="13">
        <v>40</v>
      </c>
      <c r="R44" s="13">
        <v>24</v>
      </c>
      <c r="S44" s="13">
        <f t="shared" si="1"/>
        <v>123</v>
      </c>
    </row>
    <row r="45" spans="1:19" x14ac:dyDescent="0.3">
      <c r="A45" s="19" t="s">
        <v>140</v>
      </c>
      <c r="B45" t="s">
        <v>141</v>
      </c>
      <c r="C45">
        <v>2009</v>
      </c>
      <c r="D45">
        <v>9</v>
      </c>
      <c r="E45" s="13">
        <v>95</v>
      </c>
      <c r="F45" s="13">
        <v>25</v>
      </c>
      <c r="G45" s="13">
        <v>39</v>
      </c>
      <c r="H45">
        <f t="shared" si="0"/>
        <v>50</v>
      </c>
      <c r="I45" s="11">
        <v>1.9809028761773817</v>
      </c>
      <c r="J45" s="11">
        <v>2.0313943385726727</v>
      </c>
      <c r="K45" s="13" cm="1">
        <f t="array" ref="K45">CalNoteVit($I$6,C45,I45,J45)</f>
        <v>0</v>
      </c>
      <c r="L45" s="11">
        <v>6.7334690221924509</v>
      </c>
      <c r="M45" s="11">
        <v>6.670755255571625</v>
      </c>
      <c r="N45" cm="1">
        <f t="array" ref="N45">CalNoteVit($L$6,C45,L45,M45)</f>
        <v>0</v>
      </c>
      <c r="O45" s="13">
        <v>870</v>
      </c>
      <c r="P45" cm="1">
        <f t="array" ref="P45">CalNoteEndurance(O45)</f>
        <v>12.75</v>
      </c>
      <c r="Q45" s="13">
        <v>16</v>
      </c>
      <c r="R45" s="13">
        <v>44</v>
      </c>
      <c r="S45" s="13">
        <f t="shared" si="1"/>
        <v>122.75</v>
      </c>
    </row>
    <row r="46" spans="1:19" x14ac:dyDescent="0.3">
      <c r="A46" s="19" t="s">
        <v>142</v>
      </c>
      <c r="B46" t="s">
        <v>143</v>
      </c>
      <c r="C46">
        <v>2009</v>
      </c>
      <c r="D46">
        <v>10</v>
      </c>
      <c r="E46" s="13">
        <v>33</v>
      </c>
      <c r="F46" s="13">
        <v>13</v>
      </c>
      <c r="G46" s="13">
        <v>88</v>
      </c>
      <c r="H46">
        <f t="shared" si="0"/>
        <v>45</v>
      </c>
      <c r="I46" s="11">
        <v>1.7721633219692785</v>
      </c>
      <c r="J46" s="11">
        <v>1.9879892171328915</v>
      </c>
      <c r="K46" s="13" cm="1">
        <f t="array" ref="K46">CalNoteVit($I$6,C46,I46,J46)</f>
        <v>10</v>
      </c>
      <c r="L46" s="11">
        <v>5.8246031506933642</v>
      </c>
      <c r="M46" s="11">
        <v>5.8826950162263918</v>
      </c>
      <c r="N46" cm="1">
        <f t="array" ref="N46">CalNoteVit($L$6,C46,L46,M46)</f>
        <v>12</v>
      </c>
      <c r="O46" s="13">
        <v>740</v>
      </c>
      <c r="P46" cm="1">
        <f t="array" ref="P46">CalNoteEndurance(O46)</f>
        <v>9.5</v>
      </c>
      <c r="Q46" s="13">
        <v>14</v>
      </c>
      <c r="R46" s="13">
        <v>28</v>
      </c>
      <c r="S46" s="13">
        <f t="shared" si="1"/>
        <v>118.5</v>
      </c>
    </row>
    <row r="47" spans="1:19" x14ac:dyDescent="0.3">
      <c r="A47" s="19" t="s">
        <v>144</v>
      </c>
      <c r="B47" t="s">
        <v>88</v>
      </c>
      <c r="C47">
        <v>2009</v>
      </c>
      <c r="D47" t="s">
        <v>145</v>
      </c>
      <c r="E47" s="13">
        <v>58</v>
      </c>
      <c r="F47" s="13">
        <v>67</v>
      </c>
      <c r="G47" s="13">
        <v>85</v>
      </c>
      <c r="H47">
        <f t="shared" si="0"/>
        <v>50</v>
      </c>
      <c r="I47" s="11">
        <v>2.0331959941979272</v>
      </c>
      <c r="J47" s="11">
        <v>2.1075878884557664</v>
      </c>
      <c r="K47" s="13" cm="1">
        <f t="array" ref="K47">CalNoteVit($I$6,C47,I47,J47)</f>
        <v>0</v>
      </c>
      <c r="L47" s="11">
        <v>6.5236882655641386</v>
      </c>
      <c r="M47" s="11">
        <v>6.412702257972029</v>
      </c>
      <c r="N47" cm="1">
        <f t="array" ref="N47">CalNoteVit($L$6,C47,L47,M47)</f>
        <v>0</v>
      </c>
      <c r="O47" s="13">
        <v>660</v>
      </c>
      <c r="P47" cm="1">
        <f t="array" ref="P47">CalNoteEndurance(O47)</f>
        <v>7.5</v>
      </c>
      <c r="Q47" s="13">
        <v>10</v>
      </c>
      <c r="R47" s="13">
        <v>43</v>
      </c>
      <c r="S47" s="13">
        <f t="shared" si="1"/>
        <v>110.5</v>
      </c>
    </row>
    <row r="48" spans="1:19" x14ac:dyDescent="0.3">
      <c r="A48" s="19" t="s">
        <v>146</v>
      </c>
      <c r="B48" t="s">
        <v>147</v>
      </c>
      <c r="C48">
        <v>2009</v>
      </c>
      <c r="D48" t="s">
        <v>103</v>
      </c>
      <c r="E48" s="13">
        <v>70</v>
      </c>
      <c r="F48" s="13">
        <v>49</v>
      </c>
      <c r="G48" s="13">
        <v>22</v>
      </c>
      <c r="H48">
        <f t="shared" si="0"/>
        <v>47</v>
      </c>
      <c r="I48" s="11">
        <v>2.158048468819096</v>
      </c>
      <c r="J48" s="11">
        <v>1.9346033314823434</v>
      </c>
      <c r="K48" s="13" cm="1">
        <f t="array" ref="K48">CalNoteVit($I$6,C48,I48,J48)</f>
        <v>0</v>
      </c>
      <c r="L48" s="11">
        <v>6.4692393274221427</v>
      </c>
      <c r="M48" s="11">
        <v>6.0564347505124614</v>
      </c>
      <c r="N48" cm="1">
        <f t="array" ref="N48">CalNoteVit($L$6,C48,L48,M48)</f>
        <v>0</v>
      </c>
      <c r="O48" s="13">
        <v>350</v>
      </c>
      <c r="P48" cm="1">
        <f t="array" ref="P48">CalNoteEndurance(O48)</f>
        <v>0</v>
      </c>
      <c r="Q48" s="13">
        <v>15</v>
      </c>
      <c r="R48" s="13">
        <v>39</v>
      </c>
      <c r="S48" s="13">
        <f t="shared" si="1"/>
        <v>101</v>
      </c>
    </row>
    <row r="49" spans="1:19" x14ac:dyDescent="0.3">
      <c r="A49" s="19" t="s">
        <v>148</v>
      </c>
      <c r="B49" t="s">
        <v>45</v>
      </c>
      <c r="C49">
        <v>2009</v>
      </c>
      <c r="D49" t="s">
        <v>149</v>
      </c>
      <c r="E49" s="13">
        <v>30</v>
      </c>
      <c r="F49" s="13">
        <v>44</v>
      </c>
      <c r="G49" s="13">
        <v>93</v>
      </c>
      <c r="H49">
        <f t="shared" si="0"/>
        <v>50</v>
      </c>
      <c r="I49" s="11">
        <v>2.0684590023096225</v>
      </c>
      <c r="J49" s="11">
        <v>2.1238970266426338</v>
      </c>
      <c r="K49" s="13" cm="1">
        <f t="array" ref="K49">CalNoteVit($I$6,C49,I49,J49)</f>
        <v>0</v>
      </c>
      <c r="L49" s="11">
        <v>6.7532577976767598</v>
      </c>
      <c r="M49" s="11">
        <v>6.566877737402212</v>
      </c>
      <c r="N49" cm="1">
        <f t="array" ref="N49">CalNoteVit($L$6,C49,L49,M49)</f>
        <v>0</v>
      </c>
      <c r="O49" s="13">
        <v>430</v>
      </c>
      <c r="P49" cm="1">
        <f t="array" ref="P49">CalNoteEndurance(O49)</f>
        <v>1.75</v>
      </c>
      <c r="Q49" s="13">
        <v>23</v>
      </c>
      <c r="R49" s="13">
        <v>26</v>
      </c>
      <c r="S49" s="13">
        <f t="shared" si="1"/>
        <v>100.75</v>
      </c>
    </row>
    <row r="50" spans="1:19" x14ac:dyDescent="0.3">
      <c r="A50" s="19" t="s">
        <v>150</v>
      </c>
      <c r="B50" t="s">
        <v>43</v>
      </c>
      <c r="C50">
        <v>2009</v>
      </c>
      <c r="D50" t="s">
        <v>55</v>
      </c>
      <c r="E50" s="13">
        <v>34</v>
      </c>
      <c r="F50" s="13">
        <v>45</v>
      </c>
      <c r="G50" s="13">
        <v>16</v>
      </c>
      <c r="H50">
        <f t="shared" si="0"/>
        <v>32</v>
      </c>
      <c r="I50" s="11">
        <v>1.7309967148982532</v>
      </c>
      <c r="J50" s="11">
        <v>2.1179041426263003</v>
      </c>
      <c r="K50" s="13" cm="1">
        <f t="array" ref="K50">CalNoteVit($I$6,C50,I50,J50)</f>
        <v>10</v>
      </c>
      <c r="L50" s="11">
        <v>5.392689680324354</v>
      </c>
      <c r="M50" s="11">
        <v>5.5316640957719638</v>
      </c>
      <c r="N50" cm="1">
        <f t="array" ref="N50">CalNoteVit($L$6,C50,L50,M50)</f>
        <v>20</v>
      </c>
      <c r="O50" s="13">
        <v>540</v>
      </c>
      <c r="P50" cm="1">
        <f t="array" ref="P50">CalNoteEndurance(O50)</f>
        <v>4.5</v>
      </c>
      <c r="Q50" s="13">
        <v>10</v>
      </c>
      <c r="R50" s="13">
        <v>24</v>
      </c>
      <c r="S50" s="13">
        <f t="shared" si="1"/>
        <v>100.5</v>
      </c>
    </row>
    <row r="51" spans="1:19" x14ac:dyDescent="0.3">
      <c r="D51"/>
    </row>
    <row r="52" spans="1:19" x14ac:dyDescent="0.3">
      <c r="D52"/>
      <c r="E52" s="13"/>
      <c r="F52" s="13"/>
      <c r="Q52" s="13"/>
      <c r="R52" s="13"/>
    </row>
    <row r="53" spans="1:19" x14ac:dyDescent="0.3">
      <c r="D53"/>
      <c r="E53" s="13"/>
      <c r="F53" s="13"/>
      <c r="G53" s="13"/>
      <c r="H53" s="11"/>
      <c r="Q53" s="13"/>
      <c r="R53" s="13"/>
    </row>
    <row r="54" spans="1:19" x14ac:dyDescent="0.3">
      <c r="D54"/>
      <c r="E54" s="13"/>
      <c r="F54" s="13"/>
      <c r="G54" s="13"/>
      <c r="H54" s="11"/>
      <c r="Q54" s="13"/>
      <c r="R54" s="13"/>
    </row>
    <row r="55" spans="1:19" x14ac:dyDescent="0.3">
      <c r="D55"/>
      <c r="E55" s="13"/>
      <c r="F55" s="13"/>
      <c r="G55" s="13"/>
      <c r="H55" s="11"/>
      <c r="Q55" s="13"/>
      <c r="R55" s="13"/>
    </row>
    <row r="56" spans="1:19" x14ac:dyDescent="0.3">
      <c r="D56"/>
      <c r="E56" s="13"/>
      <c r="F56" s="13"/>
      <c r="G56" s="13"/>
      <c r="H56" s="11"/>
      <c r="Q56" s="13"/>
      <c r="R56" s="13"/>
    </row>
    <row r="57" spans="1:19" x14ac:dyDescent="0.3">
      <c r="D57"/>
      <c r="E57" s="13"/>
      <c r="F57" s="13"/>
      <c r="G57" s="13"/>
      <c r="H57" s="11"/>
      <c r="Q57" s="13"/>
      <c r="R57" s="13"/>
    </row>
    <row r="58" spans="1:19" x14ac:dyDescent="0.3">
      <c r="D58"/>
      <c r="E58" s="13"/>
      <c r="F58" s="13"/>
      <c r="G58" s="13"/>
      <c r="H58" s="11"/>
      <c r="M58" s="13"/>
      <c r="Q58" s="13"/>
      <c r="R58" s="13"/>
    </row>
    <row r="59" spans="1:19" x14ac:dyDescent="0.3">
      <c r="D59"/>
      <c r="E59" s="13"/>
      <c r="F59" s="13"/>
      <c r="G59" s="13"/>
      <c r="H59" s="11"/>
      <c r="M59" s="13"/>
      <c r="Q59" s="13"/>
      <c r="R59" s="13"/>
    </row>
    <row r="60" spans="1:19" x14ac:dyDescent="0.3">
      <c r="D60"/>
      <c r="E60" s="13"/>
      <c r="F60" s="13"/>
      <c r="G60" s="13"/>
      <c r="H60" s="11"/>
      <c r="M60" s="13"/>
      <c r="Q60" s="13"/>
      <c r="R60" s="13"/>
    </row>
    <row r="61" spans="1:19" x14ac:dyDescent="0.3">
      <c r="D61"/>
      <c r="E61" s="13"/>
      <c r="F61" s="13"/>
      <c r="G61" s="13"/>
      <c r="H61" s="11"/>
      <c r="M61" s="13"/>
      <c r="Q61" s="13"/>
      <c r="R61" s="13"/>
    </row>
    <row r="62" spans="1:19" x14ac:dyDescent="0.3">
      <c r="D62"/>
      <c r="E62" s="13"/>
      <c r="F62" s="13"/>
      <c r="G62" s="13"/>
      <c r="H62" s="11"/>
      <c r="M62" s="13"/>
      <c r="Q62" s="13"/>
      <c r="R62" s="13"/>
    </row>
    <row r="63" spans="1:19" x14ac:dyDescent="0.3">
      <c r="D63"/>
      <c r="E63" s="13"/>
      <c r="F63" s="13"/>
      <c r="G63" s="13"/>
      <c r="H63" s="11"/>
      <c r="M63" s="13"/>
      <c r="Q63" s="13"/>
      <c r="R63" s="13"/>
    </row>
    <row r="64" spans="1:19" x14ac:dyDescent="0.3">
      <c r="D64"/>
      <c r="E64" s="13"/>
      <c r="F64" s="13"/>
      <c r="G64" s="13"/>
      <c r="H64" s="11"/>
      <c r="M64" s="13"/>
      <c r="Q64" s="13"/>
      <c r="R64" s="13"/>
    </row>
    <row r="65" spans="4:18" x14ac:dyDescent="0.3">
      <c r="D65"/>
      <c r="E65" s="13"/>
      <c r="F65" s="13"/>
      <c r="G65" s="13"/>
      <c r="H65" s="11"/>
      <c r="M65" s="13"/>
      <c r="Q65" s="13"/>
      <c r="R65" s="13"/>
    </row>
    <row r="66" spans="4:18" x14ac:dyDescent="0.3">
      <c r="D66"/>
      <c r="E66" s="13"/>
      <c r="F66" s="13"/>
      <c r="G66" s="13"/>
      <c r="H66" s="11"/>
      <c r="M66" s="13"/>
      <c r="Q66" s="13"/>
      <c r="R66" s="13"/>
    </row>
    <row r="67" spans="4:18" x14ac:dyDescent="0.3">
      <c r="D67"/>
      <c r="E67" s="13"/>
      <c r="F67" s="13"/>
      <c r="G67" s="13"/>
      <c r="H67" s="11"/>
      <c r="M67" s="13"/>
      <c r="Q67" s="13"/>
      <c r="R67" s="13"/>
    </row>
    <row r="68" spans="4:18" x14ac:dyDescent="0.3">
      <c r="D68"/>
      <c r="E68" s="13"/>
      <c r="F68" s="13"/>
      <c r="G68" s="13"/>
      <c r="H68" s="11"/>
      <c r="M68" s="13"/>
      <c r="Q68" s="13"/>
      <c r="R68" s="13"/>
    </row>
    <row r="69" spans="4:18" x14ac:dyDescent="0.3">
      <c r="D69"/>
      <c r="E69" s="13"/>
      <c r="F69" s="13"/>
      <c r="G69" s="13"/>
      <c r="H69" s="11"/>
      <c r="M69" s="13"/>
      <c r="Q69" s="13"/>
      <c r="R69" s="13"/>
    </row>
    <row r="70" spans="4:18" x14ac:dyDescent="0.3">
      <c r="D70"/>
      <c r="E70" s="13"/>
      <c r="F70" s="13"/>
      <c r="G70" s="13"/>
      <c r="H70" s="11"/>
      <c r="M70" s="13"/>
      <c r="Q70" s="13"/>
      <c r="R70" s="13"/>
    </row>
    <row r="71" spans="4:18" x14ac:dyDescent="0.3">
      <c r="D71"/>
      <c r="E71" s="13"/>
      <c r="F71" s="13"/>
      <c r="G71" s="13"/>
      <c r="H71" s="11"/>
      <c r="M71" s="13"/>
      <c r="Q71" s="13"/>
      <c r="R71" s="13"/>
    </row>
    <row r="72" spans="4:18" x14ac:dyDescent="0.3">
      <c r="D72"/>
      <c r="E72" s="13"/>
      <c r="F72" s="13"/>
      <c r="G72" s="13"/>
      <c r="H72" s="11"/>
      <c r="M72" s="13"/>
      <c r="Q72" s="13"/>
      <c r="R72" s="13"/>
    </row>
    <row r="73" spans="4:18" x14ac:dyDescent="0.3">
      <c r="D73"/>
      <c r="E73" s="13"/>
      <c r="F73" s="13"/>
      <c r="G73" s="13"/>
      <c r="H73" s="11"/>
      <c r="M73" s="13"/>
      <c r="Q73" s="13"/>
      <c r="R73" s="13"/>
    </row>
    <row r="74" spans="4:18" x14ac:dyDescent="0.3">
      <c r="D74"/>
      <c r="E74" s="13"/>
      <c r="F74" s="13"/>
      <c r="G74" s="13"/>
      <c r="H74" s="11"/>
      <c r="M74" s="13"/>
      <c r="Q74" s="13"/>
      <c r="R74" s="13"/>
    </row>
    <row r="75" spans="4:18" x14ac:dyDescent="0.3">
      <c r="D75"/>
      <c r="E75" s="13"/>
      <c r="F75" s="13"/>
      <c r="G75" s="13"/>
      <c r="H75" s="11"/>
      <c r="M75" s="13"/>
      <c r="Q75" s="13"/>
      <c r="R75" s="13"/>
    </row>
    <row r="76" spans="4:18" x14ac:dyDescent="0.3">
      <c r="D76"/>
      <c r="E76" s="13"/>
      <c r="F76" s="13"/>
      <c r="G76" s="13"/>
      <c r="H76" s="11"/>
      <c r="M76" s="13"/>
      <c r="Q76" s="13"/>
      <c r="R76" s="13"/>
    </row>
    <row r="77" spans="4:18" x14ac:dyDescent="0.3">
      <c r="D77"/>
      <c r="E77" s="13"/>
      <c r="F77" s="13"/>
      <c r="G77" s="13"/>
      <c r="H77" s="11"/>
      <c r="M77" s="13"/>
      <c r="Q77" s="13"/>
      <c r="R77" s="13"/>
    </row>
    <row r="78" spans="4:18" x14ac:dyDescent="0.3">
      <c r="D78"/>
      <c r="E78" s="13"/>
      <c r="F78" s="13"/>
      <c r="G78" s="13"/>
      <c r="H78" s="11"/>
      <c r="M78" s="13"/>
      <c r="Q78" s="13"/>
      <c r="R78" s="13"/>
    </row>
    <row r="79" spans="4:18" x14ac:dyDescent="0.3">
      <c r="D79"/>
      <c r="E79" s="13"/>
      <c r="F79" s="13"/>
      <c r="G79" s="13"/>
      <c r="H79" s="11"/>
      <c r="M79" s="13"/>
      <c r="Q79" s="13"/>
      <c r="R79" s="13"/>
    </row>
    <row r="80" spans="4:18" x14ac:dyDescent="0.3">
      <c r="D80"/>
      <c r="E80" s="13"/>
      <c r="F80" s="13"/>
      <c r="G80" s="13"/>
      <c r="H80" s="11"/>
      <c r="M80" s="13"/>
      <c r="Q80" s="13"/>
      <c r="R80" s="13"/>
    </row>
    <row r="81" spans="4:18" x14ac:dyDescent="0.3">
      <c r="D81"/>
      <c r="E81" s="13"/>
      <c r="F81" s="13"/>
      <c r="G81" s="13"/>
      <c r="H81" s="11"/>
      <c r="M81" s="13"/>
      <c r="Q81" s="13"/>
      <c r="R81" s="13"/>
    </row>
    <row r="82" spans="4:18" x14ac:dyDescent="0.3">
      <c r="D82"/>
      <c r="E82" s="13"/>
      <c r="F82" s="13"/>
      <c r="G82" s="13"/>
      <c r="H82" s="11"/>
      <c r="M82" s="13"/>
      <c r="Q82" s="13"/>
      <c r="R82" s="13"/>
    </row>
    <row r="83" spans="4:18" x14ac:dyDescent="0.3">
      <c r="D83"/>
      <c r="E83" s="13"/>
      <c r="F83" s="13"/>
      <c r="G83" s="13"/>
      <c r="H83" s="11"/>
      <c r="M83" s="13"/>
      <c r="Q83" s="13"/>
      <c r="R83" s="13"/>
    </row>
    <row r="84" spans="4:18" x14ac:dyDescent="0.3">
      <c r="D84"/>
      <c r="E84" s="13"/>
      <c r="F84" s="13"/>
      <c r="G84" s="13"/>
      <c r="H84" s="11"/>
      <c r="M84" s="13"/>
      <c r="Q84" s="13"/>
      <c r="R84" s="13"/>
    </row>
    <row r="85" spans="4:18" x14ac:dyDescent="0.3">
      <c r="D85"/>
      <c r="E85" s="13"/>
      <c r="F85" s="13"/>
      <c r="G85" s="13"/>
      <c r="H85" s="11"/>
      <c r="M85" s="13"/>
      <c r="Q85" s="13"/>
      <c r="R85" s="13"/>
    </row>
    <row r="86" spans="4:18" x14ac:dyDescent="0.3">
      <c r="D86"/>
      <c r="E86" s="13"/>
      <c r="F86" s="13"/>
      <c r="G86" s="13"/>
      <c r="H86" s="11"/>
      <c r="M86" s="13"/>
      <c r="Q86" s="13"/>
      <c r="R86" s="13"/>
    </row>
    <row r="87" spans="4:18" x14ac:dyDescent="0.3">
      <c r="D87"/>
      <c r="E87" s="13"/>
      <c r="F87" s="13"/>
      <c r="G87" s="13"/>
      <c r="H87" s="11"/>
      <c r="M87" s="13"/>
      <c r="Q87" s="13"/>
      <c r="R87" s="13"/>
    </row>
    <row r="88" spans="4:18" x14ac:dyDescent="0.3">
      <c r="D88"/>
      <c r="E88" s="13"/>
      <c r="F88" s="13"/>
      <c r="G88" s="13"/>
      <c r="H88" s="11"/>
      <c r="M88" s="13"/>
      <c r="Q88" s="13"/>
      <c r="R88" s="13"/>
    </row>
    <row r="89" spans="4:18" x14ac:dyDescent="0.3">
      <c r="D89"/>
      <c r="E89" s="13"/>
      <c r="F89" s="13"/>
      <c r="G89" s="13"/>
      <c r="H89" s="11"/>
      <c r="M89" s="13"/>
      <c r="Q89" s="13"/>
      <c r="R89" s="13"/>
    </row>
    <row r="90" spans="4:18" x14ac:dyDescent="0.3">
      <c r="D90"/>
      <c r="E90" s="13"/>
      <c r="F90" s="13"/>
      <c r="G90" s="13"/>
      <c r="H90" s="11"/>
      <c r="M90" s="13"/>
      <c r="Q90" s="13"/>
      <c r="R90" s="13"/>
    </row>
    <row r="91" spans="4:18" x14ac:dyDescent="0.3">
      <c r="D91"/>
      <c r="E91" s="13"/>
      <c r="F91" s="13"/>
      <c r="G91" s="13"/>
      <c r="H91" s="11"/>
      <c r="M91" s="13"/>
      <c r="Q91" s="13"/>
      <c r="R91" s="13"/>
    </row>
    <row r="92" spans="4:18" x14ac:dyDescent="0.3">
      <c r="D92"/>
      <c r="E92" s="13"/>
      <c r="F92" s="13"/>
      <c r="G92" s="13"/>
      <c r="H92" s="11"/>
      <c r="M92" s="13"/>
      <c r="Q92" s="13"/>
      <c r="R92" s="13"/>
    </row>
    <row r="93" spans="4:18" x14ac:dyDescent="0.3">
      <c r="D93"/>
      <c r="E93" s="13"/>
      <c r="F93" s="13"/>
      <c r="G93" s="13"/>
      <c r="H93" s="11"/>
      <c r="M93" s="13"/>
      <c r="Q93" s="13"/>
      <c r="R93" s="13"/>
    </row>
    <row r="94" spans="4:18" x14ac:dyDescent="0.3">
      <c r="D94"/>
      <c r="E94" s="13"/>
      <c r="F94" s="13"/>
      <c r="G94" s="13"/>
      <c r="H94" s="11"/>
      <c r="M94" s="13"/>
      <c r="Q94" s="13"/>
      <c r="R94" s="13"/>
    </row>
    <row r="95" spans="4:18" x14ac:dyDescent="0.3">
      <c r="D95"/>
      <c r="E95" s="13"/>
      <c r="G95" s="13"/>
      <c r="H95" s="11"/>
      <c r="M95" s="13"/>
      <c r="Q95" s="13"/>
    </row>
    <row r="96" spans="4:18" x14ac:dyDescent="0.3">
      <c r="D96"/>
      <c r="E96" s="13"/>
      <c r="G96" s="13"/>
      <c r="M96" s="13"/>
    </row>
    <row r="97" spans="4:13" x14ac:dyDescent="0.3">
      <c r="D97"/>
      <c r="G97" s="13"/>
      <c r="M97" s="13"/>
    </row>
    <row r="98" spans="4:13" x14ac:dyDescent="0.3">
      <c r="D98"/>
      <c r="G98" s="13"/>
      <c r="M98" s="13"/>
    </row>
    <row r="99" spans="4:13" x14ac:dyDescent="0.3">
      <c r="D99"/>
      <c r="G99" s="13"/>
      <c r="M99" s="13"/>
    </row>
    <row r="100" spans="4:13" x14ac:dyDescent="0.3">
      <c r="D100"/>
      <c r="G100" s="13"/>
      <c r="M100" s="13"/>
    </row>
    <row r="101" spans="4:13" x14ac:dyDescent="0.3">
      <c r="D101"/>
      <c r="G101" s="13"/>
    </row>
    <row r="102" spans="4:13" x14ac:dyDescent="0.3">
      <c r="D102"/>
    </row>
    <row r="103" spans="4:13" x14ac:dyDescent="0.3">
      <c r="D103"/>
    </row>
    <row r="104" spans="4:13" x14ac:dyDescent="0.3">
      <c r="D104"/>
    </row>
    <row r="105" spans="4:13" x14ac:dyDescent="0.3">
      <c r="D105"/>
    </row>
    <row r="106" spans="4:13" x14ac:dyDescent="0.3">
      <c r="D106"/>
    </row>
    <row r="107" spans="4:13" x14ac:dyDescent="0.3">
      <c r="D107"/>
    </row>
    <row r="108" spans="4:13" x14ac:dyDescent="0.3">
      <c r="D108"/>
    </row>
    <row r="109" spans="4:13" x14ac:dyDescent="0.3">
      <c r="D109"/>
    </row>
    <row r="110" spans="4:13" x14ac:dyDescent="0.3">
      <c r="D110"/>
    </row>
    <row r="111" spans="4:13" x14ac:dyDescent="0.3">
      <c r="D111"/>
    </row>
    <row r="112" spans="4:13" x14ac:dyDescent="0.3">
      <c r="D112"/>
    </row>
    <row r="113" spans="4:4" x14ac:dyDescent="0.3">
      <c r="D113"/>
    </row>
    <row r="114" spans="4:4" x14ac:dyDescent="0.3">
      <c r="D114"/>
    </row>
    <row r="115" spans="4:4" x14ac:dyDescent="0.3">
      <c r="D115"/>
    </row>
    <row r="116" spans="4:4" x14ac:dyDescent="0.3">
      <c r="D116"/>
    </row>
    <row r="117" spans="4:4" x14ac:dyDescent="0.3">
      <c r="D117"/>
    </row>
    <row r="118" spans="4:4" x14ac:dyDescent="0.3">
      <c r="D118"/>
    </row>
    <row r="119" spans="4:4" x14ac:dyDescent="0.3">
      <c r="D119"/>
    </row>
    <row r="120" spans="4:4" x14ac:dyDescent="0.3">
      <c r="D120"/>
    </row>
    <row r="121" spans="4:4" x14ac:dyDescent="0.3">
      <c r="D121"/>
    </row>
    <row r="122" spans="4:4" x14ac:dyDescent="0.3">
      <c r="D122"/>
    </row>
    <row r="123" spans="4:4" x14ac:dyDescent="0.3">
      <c r="D123"/>
    </row>
    <row r="124" spans="4:4" x14ac:dyDescent="0.3">
      <c r="D124"/>
    </row>
    <row r="125" spans="4:4" x14ac:dyDescent="0.3">
      <c r="D125"/>
    </row>
    <row r="126" spans="4:4" x14ac:dyDescent="0.3">
      <c r="D126"/>
    </row>
    <row r="127" spans="4:4" x14ac:dyDescent="0.3">
      <c r="D127"/>
    </row>
    <row r="128" spans="4:4" x14ac:dyDescent="0.3">
      <c r="D128"/>
    </row>
    <row r="129" spans="4:4" x14ac:dyDescent="0.3">
      <c r="D129"/>
    </row>
    <row r="130" spans="4:4" x14ac:dyDescent="0.3">
      <c r="D130"/>
    </row>
    <row r="131" spans="4:4" x14ac:dyDescent="0.3">
      <c r="D131"/>
    </row>
    <row r="132" spans="4:4" x14ac:dyDescent="0.3">
      <c r="D132"/>
    </row>
    <row r="133" spans="4:4" x14ac:dyDescent="0.3">
      <c r="D133"/>
    </row>
    <row r="134" spans="4:4" x14ac:dyDescent="0.3">
      <c r="D134"/>
    </row>
    <row r="135" spans="4:4" x14ac:dyDescent="0.3">
      <c r="D135"/>
    </row>
    <row r="136" spans="4:4" x14ac:dyDescent="0.3">
      <c r="D136"/>
    </row>
    <row r="137" spans="4:4" x14ac:dyDescent="0.3">
      <c r="D137"/>
    </row>
    <row r="138" spans="4:4" x14ac:dyDescent="0.3">
      <c r="D138"/>
    </row>
    <row r="139" spans="4:4" x14ac:dyDescent="0.3">
      <c r="D139"/>
    </row>
    <row r="140" spans="4:4" x14ac:dyDescent="0.3">
      <c r="D140"/>
    </row>
    <row r="141" spans="4:4" x14ac:dyDescent="0.3">
      <c r="D141"/>
    </row>
    <row r="142" spans="4:4" x14ac:dyDescent="0.3">
      <c r="D142"/>
    </row>
    <row r="143" spans="4:4" x14ac:dyDescent="0.3">
      <c r="D143"/>
    </row>
    <row r="144" spans="4:4" x14ac:dyDescent="0.3">
      <c r="D144"/>
    </row>
    <row r="145" spans="4:4" x14ac:dyDescent="0.3">
      <c r="D145"/>
    </row>
    <row r="146" spans="4:4" x14ac:dyDescent="0.3">
      <c r="D146"/>
    </row>
    <row r="147" spans="4:4" x14ac:dyDescent="0.3">
      <c r="D147"/>
    </row>
    <row r="148" spans="4:4" x14ac:dyDescent="0.3">
      <c r="D148"/>
    </row>
    <row r="149" spans="4:4" x14ac:dyDescent="0.3">
      <c r="D149"/>
    </row>
    <row r="150" spans="4:4" x14ac:dyDescent="0.3">
      <c r="D150"/>
    </row>
    <row r="151" spans="4:4" x14ac:dyDescent="0.3">
      <c r="D151"/>
    </row>
    <row r="152" spans="4:4" x14ac:dyDescent="0.3">
      <c r="D152"/>
    </row>
    <row r="153" spans="4:4" x14ac:dyDescent="0.3">
      <c r="D153"/>
    </row>
    <row r="154" spans="4:4" x14ac:dyDescent="0.3">
      <c r="D154"/>
    </row>
    <row r="155" spans="4:4" x14ac:dyDescent="0.3">
      <c r="D155"/>
    </row>
    <row r="156" spans="4:4" x14ac:dyDescent="0.3">
      <c r="D156"/>
    </row>
    <row r="157" spans="4:4" x14ac:dyDescent="0.3">
      <c r="D157"/>
    </row>
    <row r="158" spans="4:4" x14ac:dyDescent="0.3">
      <c r="D158"/>
    </row>
    <row r="159" spans="4:4" x14ac:dyDescent="0.3">
      <c r="D159"/>
    </row>
    <row r="160" spans="4:4" x14ac:dyDescent="0.3">
      <c r="D160"/>
    </row>
    <row r="161" spans="4:4" x14ac:dyDescent="0.3">
      <c r="D161"/>
    </row>
    <row r="162" spans="4:4" x14ac:dyDescent="0.3">
      <c r="D162"/>
    </row>
    <row r="163" spans="4:4" x14ac:dyDescent="0.3">
      <c r="D163"/>
    </row>
    <row r="164" spans="4:4" x14ac:dyDescent="0.3">
      <c r="D164"/>
    </row>
    <row r="165" spans="4:4" x14ac:dyDescent="0.3">
      <c r="D165"/>
    </row>
    <row r="166" spans="4:4" x14ac:dyDescent="0.3">
      <c r="D166"/>
    </row>
    <row r="167" spans="4:4" x14ac:dyDescent="0.3">
      <c r="D167"/>
    </row>
    <row r="168" spans="4:4" x14ac:dyDescent="0.3">
      <c r="D168"/>
    </row>
    <row r="169" spans="4:4" x14ac:dyDescent="0.3">
      <c r="D169"/>
    </row>
    <row r="170" spans="4:4" x14ac:dyDescent="0.3">
      <c r="D170"/>
    </row>
    <row r="171" spans="4:4" x14ac:dyDescent="0.3">
      <c r="D171"/>
    </row>
    <row r="172" spans="4:4" x14ac:dyDescent="0.3">
      <c r="D172"/>
    </row>
    <row r="173" spans="4:4" x14ac:dyDescent="0.3">
      <c r="D173"/>
    </row>
    <row r="174" spans="4:4" x14ac:dyDescent="0.3">
      <c r="D174"/>
    </row>
    <row r="175" spans="4:4" x14ac:dyDescent="0.3">
      <c r="D175"/>
    </row>
    <row r="176" spans="4:4" x14ac:dyDescent="0.3">
      <c r="D176"/>
    </row>
    <row r="177" spans="4:4" x14ac:dyDescent="0.3">
      <c r="D177"/>
    </row>
    <row r="178" spans="4:4" x14ac:dyDescent="0.3">
      <c r="D178"/>
    </row>
    <row r="179" spans="4:4" x14ac:dyDescent="0.3">
      <c r="D179"/>
    </row>
    <row r="180" spans="4:4" x14ac:dyDescent="0.3">
      <c r="D180"/>
    </row>
    <row r="181" spans="4:4" x14ac:dyDescent="0.3">
      <c r="D181"/>
    </row>
    <row r="182" spans="4:4" x14ac:dyDescent="0.3">
      <c r="D182"/>
    </row>
    <row r="183" spans="4:4" x14ac:dyDescent="0.3">
      <c r="D183"/>
    </row>
    <row r="184" spans="4:4" x14ac:dyDescent="0.3">
      <c r="D184"/>
    </row>
    <row r="185" spans="4:4" x14ac:dyDescent="0.3">
      <c r="D185"/>
    </row>
    <row r="186" spans="4:4" x14ac:dyDescent="0.3">
      <c r="D186"/>
    </row>
    <row r="187" spans="4:4" x14ac:dyDescent="0.3">
      <c r="D187"/>
    </row>
    <row r="188" spans="4:4" x14ac:dyDescent="0.3">
      <c r="D188"/>
    </row>
    <row r="189" spans="4:4" x14ac:dyDescent="0.3">
      <c r="D189"/>
    </row>
    <row r="190" spans="4:4" x14ac:dyDescent="0.3">
      <c r="D190"/>
    </row>
    <row r="191" spans="4:4" x14ac:dyDescent="0.3">
      <c r="D191"/>
    </row>
    <row r="192" spans="4:4" x14ac:dyDescent="0.3">
      <c r="D192"/>
    </row>
    <row r="193" spans="4:4" x14ac:dyDescent="0.3">
      <c r="D193"/>
    </row>
    <row r="194" spans="4:4" x14ac:dyDescent="0.3">
      <c r="D194"/>
    </row>
    <row r="195" spans="4:4" x14ac:dyDescent="0.3">
      <c r="D195"/>
    </row>
    <row r="196" spans="4:4" x14ac:dyDescent="0.3">
      <c r="D196"/>
    </row>
    <row r="197" spans="4:4" x14ac:dyDescent="0.3">
      <c r="D197"/>
    </row>
    <row r="198" spans="4:4" x14ac:dyDescent="0.3">
      <c r="D198"/>
    </row>
    <row r="199" spans="4:4" x14ac:dyDescent="0.3">
      <c r="D199"/>
    </row>
    <row r="200" spans="4:4" x14ac:dyDescent="0.3">
      <c r="D200"/>
    </row>
    <row r="201" spans="4:4" x14ac:dyDescent="0.3">
      <c r="D201"/>
    </row>
    <row r="202" spans="4:4" x14ac:dyDescent="0.3">
      <c r="D202"/>
    </row>
    <row r="203" spans="4:4" x14ac:dyDescent="0.3">
      <c r="D203"/>
    </row>
    <row r="204" spans="4:4" x14ac:dyDescent="0.3">
      <c r="D204"/>
    </row>
    <row r="205" spans="4:4" x14ac:dyDescent="0.3">
      <c r="D205"/>
    </row>
    <row r="206" spans="4:4" x14ac:dyDescent="0.3">
      <c r="D206"/>
    </row>
    <row r="207" spans="4:4" x14ac:dyDescent="0.3">
      <c r="D207"/>
    </row>
    <row r="208" spans="4:4" x14ac:dyDescent="0.3">
      <c r="D208"/>
    </row>
    <row r="209" spans="4:4" x14ac:dyDescent="0.3">
      <c r="D209"/>
    </row>
    <row r="210" spans="4:4" x14ac:dyDescent="0.3">
      <c r="D210"/>
    </row>
    <row r="211" spans="4:4" x14ac:dyDescent="0.3">
      <c r="D211"/>
    </row>
    <row r="212" spans="4:4" x14ac:dyDescent="0.3">
      <c r="D212"/>
    </row>
    <row r="213" spans="4:4" x14ac:dyDescent="0.3">
      <c r="D213"/>
    </row>
    <row r="214" spans="4:4" x14ac:dyDescent="0.3">
      <c r="D214"/>
    </row>
    <row r="215" spans="4:4" x14ac:dyDescent="0.3">
      <c r="D215"/>
    </row>
    <row r="216" spans="4:4" x14ac:dyDescent="0.3">
      <c r="D216"/>
    </row>
    <row r="217" spans="4:4" x14ac:dyDescent="0.3">
      <c r="D217"/>
    </row>
    <row r="218" spans="4:4" x14ac:dyDescent="0.3">
      <c r="D218"/>
    </row>
    <row r="219" spans="4:4" x14ac:dyDescent="0.3">
      <c r="D219"/>
    </row>
    <row r="220" spans="4:4" x14ac:dyDescent="0.3">
      <c r="D220"/>
    </row>
    <row r="221" spans="4:4" x14ac:dyDescent="0.3">
      <c r="D221"/>
    </row>
    <row r="222" spans="4:4" x14ac:dyDescent="0.3">
      <c r="D222"/>
    </row>
    <row r="223" spans="4:4" x14ac:dyDescent="0.3">
      <c r="D223"/>
    </row>
    <row r="224" spans="4:4" x14ac:dyDescent="0.3">
      <c r="D224"/>
    </row>
    <row r="225" spans="4:4" x14ac:dyDescent="0.3">
      <c r="D225"/>
    </row>
    <row r="226" spans="4:4" x14ac:dyDescent="0.3">
      <c r="D226"/>
    </row>
    <row r="227" spans="4:4" x14ac:dyDescent="0.3">
      <c r="D227"/>
    </row>
    <row r="228" spans="4:4" x14ac:dyDescent="0.3">
      <c r="D228"/>
    </row>
    <row r="229" spans="4:4" x14ac:dyDescent="0.3">
      <c r="D229"/>
    </row>
    <row r="230" spans="4:4" x14ac:dyDescent="0.3">
      <c r="D230"/>
    </row>
    <row r="231" spans="4:4" x14ac:dyDescent="0.3">
      <c r="D231"/>
    </row>
    <row r="232" spans="4:4" x14ac:dyDescent="0.3">
      <c r="D232"/>
    </row>
    <row r="233" spans="4:4" x14ac:dyDescent="0.3">
      <c r="D233"/>
    </row>
    <row r="234" spans="4:4" x14ac:dyDescent="0.3">
      <c r="D234"/>
    </row>
    <row r="235" spans="4:4" x14ac:dyDescent="0.3">
      <c r="D235"/>
    </row>
    <row r="236" spans="4:4" x14ac:dyDescent="0.3">
      <c r="D236"/>
    </row>
    <row r="237" spans="4:4" x14ac:dyDescent="0.3">
      <c r="D237"/>
    </row>
    <row r="238" spans="4:4" x14ac:dyDescent="0.3">
      <c r="D238"/>
    </row>
    <row r="239" spans="4:4" x14ac:dyDescent="0.3">
      <c r="D239"/>
    </row>
    <row r="240" spans="4:4" x14ac:dyDescent="0.3">
      <c r="D240"/>
    </row>
    <row r="241" spans="4:4" x14ac:dyDescent="0.3">
      <c r="D241"/>
    </row>
    <row r="242" spans="4:4" x14ac:dyDescent="0.3">
      <c r="D242"/>
    </row>
    <row r="243" spans="4:4" x14ac:dyDescent="0.3">
      <c r="D243"/>
    </row>
    <row r="244" spans="4:4" x14ac:dyDescent="0.3">
      <c r="D244"/>
    </row>
    <row r="245" spans="4:4" x14ac:dyDescent="0.3">
      <c r="D245"/>
    </row>
    <row r="246" spans="4:4" x14ac:dyDescent="0.3">
      <c r="D246"/>
    </row>
    <row r="247" spans="4:4" x14ac:dyDescent="0.3">
      <c r="D247"/>
    </row>
    <row r="248" spans="4:4" x14ac:dyDescent="0.3">
      <c r="D248"/>
    </row>
    <row r="249" spans="4:4" x14ac:dyDescent="0.3">
      <c r="D249"/>
    </row>
    <row r="250" spans="4:4" x14ac:dyDescent="0.3">
      <c r="D250"/>
    </row>
    <row r="251" spans="4:4" x14ac:dyDescent="0.3">
      <c r="D251"/>
    </row>
    <row r="252" spans="4:4" x14ac:dyDescent="0.3">
      <c r="D252"/>
    </row>
    <row r="253" spans="4:4" x14ac:dyDescent="0.3">
      <c r="D253"/>
    </row>
    <row r="254" spans="4:4" x14ac:dyDescent="0.3">
      <c r="D254"/>
    </row>
    <row r="255" spans="4:4" x14ac:dyDescent="0.3">
      <c r="D255"/>
    </row>
    <row r="256" spans="4:4" x14ac:dyDescent="0.3">
      <c r="D256"/>
    </row>
    <row r="257" spans="4:4" x14ac:dyDescent="0.3">
      <c r="D257"/>
    </row>
    <row r="258" spans="4:4" x14ac:dyDescent="0.3">
      <c r="D258"/>
    </row>
    <row r="259" spans="4:4" x14ac:dyDescent="0.3">
      <c r="D259"/>
    </row>
    <row r="260" spans="4:4" x14ac:dyDescent="0.3">
      <c r="D260"/>
    </row>
    <row r="261" spans="4:4" x14ac:dyDescent="0.3">
      <c r="D261"/>
    </row>
    <row r="262" spans="4:4" x14ac:dyDescent="0.3">
      <c r="D262"/>
    </row>
    <row r="263" spans="4:4" x14ac:dyDescent="0.3">
      <c r="D263"/>
    </row>
    <row r="264" spans="4:4" x14ac:dyDescent="0.3">
      <c r="D264"/>
    </row>
    <row r="265" spans="4:4" x14ac:dyDescent="0.3">
      <c r="D265"/>
    </row>
    <row r="266" spans="4:4" x14ac:dyDescent="0.3">
      <c r="D266"/>
    </row>
    <row r="267" spans="4:4" x14ac:dyDescent="0.3">
      <c r="D267"/>
    </row>
    <row r="268" spans="4:4" x14ac:dyDescent="0.3">
      <c r="D268"/>
    </row>
    <row r="269" spans="4:4" x14ac:dyDescent="0.3">
      <c r="D269"/>
    </row>
    <row r="270" spans="4:4" x14ac:dyDescent="0.3">
      <c r="D270"/>
    </row>
    <row r="271" spans="4:4" x14ac:dyDescent="0.3">
      <c r="D271"/>
    </row>
    <row r="272" spans="4:4" x14ac:dyDescent="0.3">
      <c r="D272"/>
    </row>
    <row r="273" spans="4:4" x14ac:dyDescent="0.3">
      <c r="D273"/>
    </row>
    <row r="274" spans="4:4" x14ac:dyDescent="0.3">
      <c r="D274"/>
    </row>
    <row r="275" spans="4:4" x14ac:dyDescent="0.3">
      <c r="D275"/>
    </row>
    <row r="276" spans="4:4" x14ac:dyDescent="0.3">
      <c r="D276"/>
    </row>
    <row r="277" spans="4:4" x14ac:dyDescent="0.3">
      <c r="D277"/>
    </row>
    <row r="278" spans="4:4" x14ac:dyDescent="0.3">
      <c r="D278"/>
    </row>
    <row r="279" spans="4:4" x14ac:dyDescent="0.3">
      <c r="D279"/>
    </row>
    <row r="280" spans="4:4" x14ac:dyDescent="0.3">
      <c r="D280"/>
    </row>
    <row r="281" spans="4:4" x14ac:dyDescent="0.3">
      <c r="D281"/>
    </row>
    <row r="282" spans="4:4" x14ac:dyDescent="0.3">
      <c r="D282"/>
    </row>
    <row r="283" spans="4:4" x14ac:dyDescent="0.3">
      <c r="D283"/>
    </row>
    <row r="284" spans="4:4" x14ac:dyDescent="0.3">
      <c r="D284"/>
    </row>
    <row r="285" spans="4:4" x14ac:dyDescent="0.3">
      <c r="D285"/>
    </row>
    <row r="286" spans="4:4" x14ac:dyDescent="0.3">
      <c r="D286"/>
    </row>
    <row r="287" spans="4:4" x14ac:dyDescent="0.3">
      <c r="D287"/>
    </row>
    <row r="288" spans="4:4" x14ac:dyDescent="0.3">
      <c r="D288"/>
    </row>
    <row r="289" spans="4:4" x14ac:dyDescent="0.3">
      <c r="D289"/>
    </row>
    <row r="290" spans="4:4" x14ac:dyDescent="0.3">
      <c r="D290"/>
    </row>
    <row r="291" spans="4:4" x14ac:dyDescent="0.3">
      <c r="D291"/>
    </row>
    <row r="292" spans="4:4" x14ac:dyDescent="0.3">
      <c r="D292"/>
    </row>
    <row r="293" spans="4:4" x14ac:dyDescent="0.3">
      <c r="D293"/>
    </row>
    <row r="294" spans="4:4" x14ac:dyDescent="0.3">
      <c r="D294"/>
    </row>
    <row r="295" spans="4:4" x14ac:dyDescent="0.3">
      <c r="D295"/>
    </row>
    <row r="296" spans="4:4" x14ac:dyDescent="0.3">
      <c r="D296"/>
    </row>
    <row r="297" spans="4:4" x14ac:dyDescent="0.3">
      <c r="D297"/>
    </row>
    <row r="298" spans="4:4" x14ac:dyDescent="0.3">
      <c r="D298"/>
    </row>
    <row r="299" spans="4:4" x14ac:dyDescent="0.3">
      <c r="D299"/>
    </row>
    <row r="300" spans="4:4" x14ac:dyDescent="0.3">
      <c r="D300"/>
    </row>
    <row r="301" spans="4:4" x14ac:dyDescent="0.3">
      <c r="D301"/>
    </row>
    <row r="302" spans="4:4" x14ac:dyDescent="0.3">
      <c r="D302"/>
    </row>
    <row r="303" spans="4:4" x14ac:dyDescent="0.3">
      <c r="D303"/>
    </row>
    <row r="304" spans="4:4" x14ac:dyDescent="0.3">
      <c r="D304"/>
    </row>
    <row r="305" spans="4:4" x14ac:dyDescent="0.3">
      <c r="D305"/>
    </row>
    <row r="306" spans="4:4" x14ac:dyDescent="0.3">
      <c r="D306"/>
    </row>
    <row r="307" spans="4:4" x14ac:dyDescent="0.3">
      <c r="D307"/>
    </row>
    <row r="308" spans="4:4" x14ac:dyDescent="0.3">
      <c r="D308"/>
    </row>
    <row r="309" spans="4:4" x14ac:dyDescent="0.3">
      <c r="D309"/>
    </row>
    <row r="310" spans="4:4" x14ac:dyDescent="0.3">
      <c r="D310"/>
    </row>
    <row r="311" spans="4:4" x14ac:dyDescent="0.3">
      <c r="D311"/>
    </row>
    <row r="312" spans="4:4" x14ac:dyDescent="0.3">
      <c r="D312"/>
    </row>
    <row r="313" spans="4:4" x14ac:dyDescent="0.3">
      <c r="D313"/>
    </row>
    <row r="314" spans="4:4" x14ac:dyDescent="0.3">
      <c r="D314"/>
    </row>
    <row r="315" spans="4:4" x14ac:dyDescent="0.3">
      <c r="D315"/>
    </row>
    <row r="316" spans="4:4" x14ac:dyDescent="0.3">
      <c r="D316"/>
    </row>
    <row r="317" spans="4:4" x14ac:dyDescent="0.3">
      <c r="D317"/>
    </row>
    <row r="318" spans="4:4" x14ac:dyDescent="0.3">
      <c r="D318"/>
    </row>
    <row r="319" spans="4:4" x14ac:dyDescent="0.3">
      <c r="D319"/>
    </row>
    <row r="320" spans="4:4" x14ac:dyDescent="0.3">
      <c r="D320"/>
    </row>
    <row r="321" spans="4:4" x14ac:dyDescent="0.3">
      <c r="D321"/>
    </row>
    <row r="322" spans="4:4" x14ac:dyDescent="0.3">
      <c r="D322"/>
    </row>
    <row r="323" spans="4:4" x14ac:dyDescent="0.3">
      <c r="D323"/>
    </row>
    <row r="324" spans="4:4" x14ac:dyDescent="0.3">
      <c r="D324"/>
    </row>
    <row r="325" spans="4:4" x14ac:dyDescent="0.3">
      <c r="D325"/>
    </row>
    <row r="326" spans="4:4" x14ac:dyDescent="0.3">
      <c r="D326"/>
    </row>
    <row r="327" spans="4:4" x14ac:dyDescent="0.3">
      <c r="D327"/>
    </row>
    <row r="328" spans="4:4" x14ac:dyDescent="0.3">
      <c r="D328"/>
    </row>
    <row r="329" spans="4:4" x14ac:dyDescent="0.3">
      <c r="D329"/>
    </row>
    <row r="330" spans="4:4" x14ac:dyDescent="0.3">
      <c r="D330"/>
    </row>
    <row r="331" spans="4:4" x14ac:dyDescent="0.3">
      <c r="D331"/>
    </row>
    <row r="332" spans="4:4" x14ac:dyDescent="0.3">
      <c r="D332"/>
    </row>
    <row r="333" spans="4:4" x14ac:dyDescent="0.3">
      <c r="D333"/>
    </row>
    <row r="334" spans="4:4" x14ac:dyDescent="0.3">
      <c r="D334"/>
    </row>
    <row r="335" spans="4:4" x14ac:dyDescent="0.3">
      <c r="D335"/>
    </row>
    <row r="336" spans="4:4" x14ac:dyDescent="0.3">
      <c r="D336"/>
    </row>
    <row r="337" spans="4:4" x14ac:dyDescent="0.3">
      <c r="D337"/>
    </row>
    <row r="338" spans="4:4" x14ac:dyDescent="0.3">
      <c r="D338"/>
    </row>
    <row r="339" spans="4:4" x14ac:dyDescent="0.3">
      <c r="D339"/>
    </row>
    <row r="340" spans="4:4" x14ac:dyDescent="0.3">
      <c r="D340"/>
    </row>
    <row r="341" spans="4:4" x14ac:dyDescent="0.3">
      <c r="D341"/>
    </row>
    <row r="342" spans="4:4" x14ac:dyDescent="0.3">
      <c r="D342"/>
    </row>
    <row r="343" spans="4:4" x14ac:dyDescent="0.3">
      <c r="D343"/>
    </row>
    <row r="344" spans="4:4" x14ac:dyDescent="0.3">
      <c r="D344"/>
    </row>
    <row r="345" spans="4:4" x14ac:dyDescent="0.3">
      <c r="D345"/>
    </row>
    <row r="346" spans="4:4" x14ac:dyDescent="0.3">
      <c r="D346"/>
    </row>
    <row r="347" spans="4:4" x14ac:dyDescent="0.3">
      <c r="D347"/>
    </row>
    <row r="348" spans="4:4" x14ac:dyDescent="0.3">
      <c r="D348"/>
    </row>
    <row r="349" spans="4:4" x14ac:dyDescent="0.3">
      <c r="D349"/>
    </row>
    <row r="350" spans="4:4" x14ac:dyDescent="0.3">
      <c r="D350"/>
    </row>
    <row r="351" spans="4:4" x14ac:dyDescent="0.3">
      <c r="D351"/>
    </row>
    <row r="352" spans="4:4" x14ac:dyDescent="0.3">
      <c r="D352"/>
    </row>
    <row r="353" spans="4:4" x14ac:dyDescent="0.3">
      <c r="D353"/>
    </row>
    <row r="354" spans="4:4" x14ac:dyDescent="0.3">
      <c r="D354"/>
    </row>
    <row r="355" spans="4:4" x14ac:dyDescent="0.3">
      <c r="D355"/>
    </row>
    <row r="356" spans="4:4" x14ac:dyDescent="0.3">
      <c r="D356"/>
    </row>
    <row r="357" spans="4:4" x14ac:dyDescent="0.3">
      <c r="D357"/>
    </row>
    <row r="358" spans="4:4" x14ac:dyDescent="0.3">
      <c r="D358"/>
    </row>
    <row r="359" spans="4:4" x14ac:dyDescent="0.3">
      <c r="D359"/>
    </row>
    <row r="360" spans="4:4" x14ac:dyDescent="0.3">
      <c r="D360"/>
    </row>
    <row r="361" spans="4:4" x14ac:dyDescent="0.3">
      <c r="D361"/>
    </row>
    <row r="362" spans="4:4" x14ac:dyDescent="0.3">
      <c r="D362"/>
    </row>
    <row r="363" spans="4:4" x14ac:dyDescent="0.3">
      <c r="D363"/>
    </row>
    <row r="364" spans="4:4" x14ac:dyDescent="0.3">
      <c r="D364"/>
    </row>
    <row r="365" spans="4:4" x14ac:dyDescent="0.3">
      <c r="D365"/>
    </row>
    <row r="366" spans="4:4" x14ac:dyDescent="0.3">
      <c r="D366"/>
    </row>
    <row r="367" spans="4:4" x14ac:dyDescent="0.3">
      <c r="D367"/>
    </row>
    <row r="368" spans="4:4" x14ac:dyDescent="0.3">
      <c r="D368"/>
    </row>
    <row r="369" spans="4:4" x14ac:dyDescent="0.3">
      <c r="D369"/>
    </row>
    <row r="370" spans="4:4" x14ac:dyDescent="0.3">
      <c r="D370"/>
    </row>
    <row r="371" spans="4:4" x14ac:dyDescent="0.3">
      <c r="D371"/>
    </row>
    <row r="372" spans="4:4" x14ac:dyDescent="0.3">
      <c r="D372"/>
    </row>
    <row r="373" spans="4:4" x14ac:dyDescent="0.3">
      <c r="D373"/>
    </row>
    <row r="374" spans="4:4" x14ac:dyDescent="0.3">
      <c r="D374"/>
    </row>
    <row r="375" spans="4:4" x14ac:dyDescent="0.3">
      <c r="D375"/>
    </row>
    <row r="376" spans="4:4" x14ac:dyDescent="0.3">
      <c r="D376"/>
    </row>
    <row r="377" spans="4:4" x14ac:dyDescent="0.3">
      <c r="D377"/>
    </row>
    <row r="378" spans="4:4" x14ac:dyDescent="0.3">
      <c r="D378"/>
    </row>
    <row r="379" spans="4:4" x14ac:dyDescent="0.3">
      <c r="D379"/>
    </row>
    <row r="380" spans="4:4" x14ac:dyDescent="0.3">
      <c r="D380"/>
    </row>
    <row r="381" spans="4:4" x14ac:dyDescent="0.3">
      <c r="D381"/>
    </row>
    <row r="382" spans="4:4" x14ac:dyDescent="0.3">
      <c r="D382"/>
    </row>
    <row r="383" spans="4:4" x14ac:dyDescent="0.3">
      <c r="D383"/>
    </row>
    <row r="384" spans="4:4" x14ac:dyDescent="0.3">
      <c r="D384"/>
    </row>
    <row r="385" spans="4:4" x14ac:dyDescent="0.3">
      <c r="D385"/>
    </row>
    <row r="386" spans="4:4" x14ac:dyDescent="0.3">
      <c r="D386"/>
    </row>
    <row r="387" spans="4:4" x14ac:dyDescent="0.3">
      <c r="D387"/>
    </row>
    <row r="388" spans="4:4" x14ac:dyDescent="0.3">
      <c r="D388"/>
    </row>
    <row r="389" spans="4:4" x14ac:dyDescent="0.3">
      <c r="D389"/>
    </row>
    <row r="390" spans="4:4" x14ac:dyDescent="0.3">
      <c r="D390"/>
    </row>
    <row r="391" spans="4:4" x14ac:dyDescent="0.3">
      <c r="D391"/>
    </row>
    <row r="392" spans="4:4" x14ac:dyDescent="0.3">
      <c r="D392"/>
    </row>
    <row r="393" spans="4:4" x14ac:dyDescent="0.3">
      <c r="D393"/>
    </row>
    <row r="394" spans="4:4" x14ac:dyDescent="0.3">
      <c r="D394"/>
    </row>
    <row r="395" spans="4:4" x14ac:dyDescent="0.3">
      <c r="D395"/>
    </row>
    <row r="396" spans="4:4" x14ac:dyDescent="0.3">
      <c r="D396"/>
    </row>
    <row r="397" spans="4:4" x14ac:dyDescent="0.3">
      <c r="D397"/>
    </row>
    <row r="398" spans="4:4" x14ac:dyDescent="0.3">
      <c r="D398"/>
    </row>
    <row r="399" spans="4:4" x14ac:dyDescent="0.3">
      <c r="D399"/>
    </row>
    <row r="400" spans="4:4" x14ac:dyDescent="0.3">
      <c r="D400"/>
    </row>
    <row r="401" spans="4:4" x14ac:dyDescent="0.3">
      <c r="D401"/>
    </row>
    <row r="402" spans="4:4" x14ac:dyDescent="0.3">
      <c r="D402"/>
    </row>
    <row r="403" spans="4:4" x14ac:dyDescent="0.3">
      <c r="D403"/>
    </row>
    <row r="404" spans="4:4" x14ac:dyDescent="0.3">
      <c r="D404"/>
    </row>
    <row r="405" spans="4:4" x14ac:dyDescent="0.3">
      <c r="D405"/>
    </row>
    <row r="406" spans="4:4" x14ac:dyDescent="0.3">
      <c r="D406"/>
    </row>
    <row r="407" spans="4:4" x14ac:dyDescent="0.3">
      <c r="D407"/>
    </row>
    <row r="408" spans="4:4" x14ac:dyDescent="0.3">
      <c r="D408"/>
    </row>
    <row r="409" spans="4:4" x14ac:dyDescent="0.3">
      <c r="D409"/>
    </row>
    <row r="410" spans="4:4" x14ac:dyDescent="0.3">
      <c r="D410"/>
    </row>
    <row r="411" spans="4:4" x14ac:dyDescent="0.3">
      <c r="D411"/>
    </row>
    <row r="412" spans="4:4" x14ac:dyDescent="0.3">
      <c r="D412"/>
    </row>
    <row r="413" spans="4:4" x14ac:dyDescent="0.3">
      <c r="D413"/>
    </row>
    <row r="414" spans="4:4" x14ac:dyDescent="0.3">
      <c r="D414"/>
    </row>
    <row r="415" spans="4:4" x14ac:dyDescent="0.3">
      <c r="D415"/>
    </row>
    <row r="416" spans="4:4" x14ac:dyDescent="0.3">
      <c r="D416"/>
    </row>
    <row r="417" spans="4:4" x14ac:dyDescent="0.3">
      <c r="D417"/>
    </row>
    <row r="418" spans="4:4" x14ac:dyDescent="0.3">
      <c r="D418"/>
    </row>
    <row r="419" spans="4:4" x14ac:dyDescent="0.3">
      <c r="D419"/>
    </row>
    <row r="420" spans="4:4" x14ac:dyDescent="0.3">
      <c r="D420"/>
    </row>
    <row r="421" spans="4:4" x14ac:dyDescent="0.3">
      <c r="D421"/>
    </row>
    <row r="422" spans="4:4" x14ac:dyDescent="0.3">
      <c r="D422"/>
    </row>
    <row r="423" spans="4:4" x14ac:dyDescent="0.3">
      <c r="D423"/>
    </row>
    <row r="424" spans="4:4" x14ac:dyDescent="0.3">
      <c r="D424"/>
    </row>
    <row r="425" spans="4:4" x14ac:dyDescent="0.3">
      <c r="D425"/>
    </row>
    <row r="426" spans="4:4" x14ac:dyDescent="0.3">
      <c r="D426"/>
    </row>
    <row r="427" spans="4:4" x14ac:dyDescent="0.3">
      <c r="D427"/>
    </row>
    <row r="428" spans="4:4" x14ac:dyDescent="0.3">
      <c r="D428"/>
    </row>
    <row r="429" spans="4:4" x14ac:dyDescent="0.3">
      <c r="D429"/>
    </row>
    <row r="430" spans="4:4" x14ac:dyDescent="0.3">
      <c r="D430"/>
    </row>
    <row r="431" spans="4:4" x14ac:dyDescent="0.3">
      <c r="D431"/>
    </row>
    <row r="432" spans="4:4" x14ac:dyDescent="0.3">
      <c r="D432"/>
    </row>
    <row r="433" spans="4:4" x14ac:dyDescent="0.3">
      <c r="D433"/>
    </row>
    <row r="434" spans="4:4" x14ac:dyDescent="0.3">
      <c r="D434"/>
    </row>
    <row r="435" spans="4:4" x14ac:dyDescent="0.3">
      <c r="D435"/>
    </row>
    <row r="436" spans="4:4" x14ac:dyDescent="0.3">
      <c r="D436"/>
    </row>
    <row r="437" spans="4:4" x14ac:dyDescent="0.3">
      <c r="D437"/>
    </row>
    <row r="438" spans="4:4" x14ac:dyDescent="0.3">
      <c r="D438"/>
    </row>
    <row r="439" spans="4:4" x14ac:dyDescent="0.3">
      <c r="D439"/>
    </row>
    <row r="440" spans="4:4" x14ac:dyDescent="0.3">
      <c r="D440"/>
    </row>
    <row r="441" spans="4:4" x14ac:dyDescent="0.3">
      <c r="D441"/>
    </row>
    <row r="442" spans="4:4" x14ac:dyDescent="0.3">
      <c r="D442"/>
    </row>
    <row r="443" spans="4:4" x14ac:dyDescent="0.3">
      <c r="D443"/>
    </row>
    <row r="444" spans="4:4" x14ac:dyDescent="0.3">
      <c r="D444"/>
    </row>
    <row r="445" spans="4:4" x14ac:dyDescent="0.3">
      <c r="D445"/>
    </row>
    <row r="446" spans="4:4" x14ac:dyDescent="0.3">
      <c r="D446"/>
    </row>
    <row r="447" spans="4:4" x14ac:dyDescent="0.3">
      <c r="D447"/>
    </row>
    <row r="448" spans="4:4" x14ac:dyDescent="0.3">
      <c r="D448"/>
    </row>
    <row r="449" spans="4:4" x14ac:dyDescent="0.3">
      <c r="D449"/>
    </row>
    <row r="450" spans="4:4" x14ac:dyDescent="0.3">
      <c r="D450"/>
    </row>
    <row r="451" spans="4:4" x14ac:dyDescent="0.3">
      <c r="D451"/>
    </row>
    <row r="452" spans="4:4" x14ac:dyDescent="0.3">
      <c r="D452"/>
    </row>
    <row r="453" spans="4:4" x14ac:dyDescent="0.3">
      <c r="D453"/>
    </row>
    <row r="454" spans="4:4" x14ac:dyDescent="0.3">
      <c r="D454"/>
    </row>
    <row r="455" spans="4:4" x14ac:dyDescent="0.3">
      <c r="D455"/>
    </row>
    <row r="456" spans="4:4" x14ac:dyDescent="0.3">
      <c r="D456"/>
    </row>
    <row r="457" spans="4:4" x14ac:dyDescent="0.3">
      <c r="D457"/>
    </row>
    <row r="458" spans="4:4" x14ac:dyDescent="0.3">
      <c r="D458"/>
    </row>
    <row r="459" spans="4:4" x14ac:dyDescent="0.3">
      <c r="D459"/>
    </row>
    <row r="460" spans="4:4" x14ac:dyDescent="0.3">
      <c r="D460"/>
    </row>
    <row r="461" spans="4:4" x14ac:dyDescent="0.3">
      <c r="D461"/>
    </row>
    <row r="462" spans="4:4" x14ac:dyDescent="0.3">
      <c r="D462"/>
    </row>
    <row r="463" spans="4:4" x14ac:dyDescent="0.3">
      <c r="D463"/>
    </row>
    <row r="464" spans="4:4" x14ac:dyDescent="0.3">
      <c r="D464"/>
    </row>
    <row r="465" spans="4:4" x14ac:dyDescent="0.3">
      <c r="D465"/>
    </row>
    <row r="466" spans="4:4" x14ac:dyDescent="0.3">
      <c r="D466"/>
    </row>
    <row r="467" spans="4:4" x14ac:dyDescent="0.3">
      <c r="D467"/>
    </row>
    <row r="468" spans="4:4" x14ac:dyDescent="0.3">
      <c r="D468"/>
    </row>
    <row r="469" spans="4:4" x14ac:dyDescent="0.3">
      <c r="D469"/>
    </row>
    <row r="470" spans="4:4" x14ac:dyDescent="0.3">
      <c r="D470"/>
    </row>
    <row r="471" spans="4:4" x14ac:dyDescent="0.3">
      <c r="D471"/>
    </row>
    <row r="472" spans="4:4" x14ac:dyDescent="0.3">
      <c r="D472"/>
    </row>
    <row r="473" spans="4:4" x14ac:dyDescent="0.3">
      <c r="D473"/>
    </row>
    <row r="474" spans="4:4" x14ac:dyDescent="0.3">
      <c r="D474"/>
    </row>
    <row r="475" spans="4:4" x14ac:dyDescent="0.3">
      <c r="D475"/>
    </row>
    <row r="476" spans="4:4" x14ac:dyDescent="0.3">
      <c r="D476"/>
    </row>
    <row r="477" spans="4:4" x14ac:dyDescent="0.3">
      <c r="D477"/>
    </row>
    <row r="478" spans="4:4" x14ac:dyDescent="0.3">
      <c r="D478"/>
    </row>
    <row r="479" spans="4:4" x14ac:dyDescent="0.3">
      <c r="D479"/>
    </row>
    <row r="480" spans="4:4" x14ac:dyDescent="0.3">
      <c r="D480"/>
    </row>
    <row r="481" spans="4:4" x14ac:dyDescent="0.3">
      <c r="D481"/>
    </row>
    <row r="482" spans="4:4" x14ac:dyDescent="0.3">
      <c r="D482"/>
    </row>
    <row r="483" spans="4:4" x14ac:dyDescent="0.3">
      <c r="D483"/>
    </row>
    <row r="484" spans="4:4" x14ac:dyDescent="0.3">
      <c r="D484"/>
    </row>
    <row r="485" spans="4:4" x14ac:dyDescent="0.3">
      <c r="D485"/>
    </row>
    <row r="486" spans="4:4" x14ac:dyDescent="0.3">
      <c r="D486"/>
    </row>
    <row r="487" spans="4:4" x14ac:dyDescent="0.3">
      <c r="D487"/>
    </row>
    <row r="488" spans="4:4" x14ac:dyDescent="0.3">
      <c r="D488"/>
    </row>
    <row r="489" spans="4:4" x14ac:dyDescent="0.3">
      <c r="D489"/>
    </row>
    <row r="490" spans="4:4" x14ac:dyDescent="0.3">
      <c r="D490"/>
    </row>
    <row r="491" spans="4:4" x14ac:dyDescent="0.3">
      <c r="D491"/>
    </row>
    <row r="492" spans="4:4" x14ac:dyDescent="0.3">
      <c r="D492"/>
    </row>
    <row r="493" spans="4:4" x14ac:dyDescent="0.3">
      <c r="D493"/>
    </row>
    <row r="494" spans="4:4" x14ac:dyDescent="0.3">
      <c r="D494"/>
    </row>
    <row r="495" spans="4:4" x14ac:dyDescent="0.3">
      <c r="D495"/>
    </row>
    <row r="496" spans="4:4" x14ac:dyDescent="0.3">
      <c r="D496"/>
    </row>
    <row r="497" spans="4:4" x14ac:dyDescent="0.3">
      <c r="D497"/>
    </row>
    <row r="498" spans="4:4" x14ac:dyDescent="0.3">
      <c r="D498"/>
    </row>
    <row r="499" spans="4:4" x14ac:dyDescent="0.3">
      <c r="D499"/>
    </row>
    <row r="500" spans="4:4" x14ac:dyDescent="0.3">
      <c r="D500"/>
    </row>
    <row r="501" spans="4:4" x14ac:dyDescent="0.3">
      <c r="D501"/>
    </row>
    <row r="502" spans="4:4" x14ac:dyDescent="0.3">
      <c r="D502"/>
    </row>
    <row r="503" spans="4:4" x14ac:dyDescent="0.3">
      <c r="D503"/>
    </row>
    <row r="504" spans="4:4" x14ac:dyDescent="0.3">
      <c r="D504"/>
    </row>
    <row r="505" spans="4:4" x14ac:dyDescent="0.3">
      <c r="D505"/>
    </row>
    <row r="506" spans="4:4" x14ac:dyDescent="0.3">
      <c r="D506"/>
    </row>
    <row r="507" spans="4:4" x14ac:dyDescent="0.3">
      <c r="D507"/>
    </row>
    <row r="508" spans="4:4" x14ac:dyDescent="0.3">
      <c r="D508"/>
    </row>
    <row r="509" spans="4:4" x14ac:dyDescent="0.3">
      <c r="D509"/>
    </row>
    <row r="510" spans="4:4" x14ac:dyDescent="0.3">
      <c r="D510"/>
    </row>
    <row r="511" spans="4:4" x14ac:dyDescent="0.3">
      <c r="D511"/>
    </row>
    <row r="512" spans="4:4" x14ac:dyDescent="0.3">
      <c r="D512"/>
    </row>
    <row r="513" spans="4:4" x14ac:dyDescent="0.3">
      <c r="D513"/>
    </row>
    <row r="514" spans="4:4" x14ac:dyDescent="0.3">
      <c r="D514"/>
    </row>
    <row r="515" spans="4:4" x14ac:dyDescent="0.3">
      <c r="D515"/>
    </row>
    <row r="516" spans="4:4" x14ac:dyDescent="0.3">
      <c r="D516"/>
    </row>
    <row r="517" spans="4:4" x14ac:dyDescent="0.3">
      <c r="D517"/>
    </row>
    <row r="518" spans="4:4" x14ac:dyDescent="0.3">
      <c r="D518"/>
    </row>
    <row r="519" spans="4:4" x14ac:dyDescent="0.3">
      <c r="D519"/>
    </row>
    <row r="520" spans="4:4" x14ac:dyDescent="0.3">
      <c r="D520"/>
    </row>
    <row r="521" spans="4:4" x14ac:dyDescent="0.3">
      <c r="D521"/>
    </row>
    <row r="522" spans="4:4" x14ac:dyDescent="0.3">
      <c r="D522"/>
    </row>
    <row r="523" spans="4:4" x14ac:dyDescent="0.3">
      <c r="D523"/>
    </row>
    <row r="524" spans="4:4" x14ac:dyDescent="0.3">
      <c r="D524"/>
    </row>
    <row r="525" spans="4:4" x14ac:dyDescent="0.3">
      <c r="D525"/>
    </row>
    <row r="526" spans="4:4" x14ac:dyDescent="0.3">
      <c r="D526"/>
    </row>
    <row r="527" spans="4:4" x14ac:dyDescent="0.3">
      <c r="D527"/>
    </row>
    <row r="528" spans="4:4" x14ac:dyDescent="0.3">
      <c r="D528"/>
    </row>
    <row r="529" spans="4:4" x14ac:dyDescent="0.3">
      <c r="D529"/>
    </row>
    <row r="530" spans="4:4" x14ac:dyDescent="0.3">
      <c r="D530"/>
    </row>
    <row r="531" spans="4:4" x14ac:dyDescent="0.3">
      <c r="D531"/>
    </row>
    <row r="532" spans="4:4" x14ac:dyDescent="0.3">
      <c r="D532"/>
    </row>
    <row r="533" spans="4:4" x14ac:dyDescent="0.3">
      <c r="D533"/>
    </row>
    <row r="534" spans="4:4" x14ac:dyDescent="0.3">
      <c r="D534"/>
    </row>
    <row r="535" spans="4:4" x14ac:dyDescent="0.3">
      <c r="D535"/>
    </row>
    <row r="536" spans="4:4" x14ac:dyDescent="0.3">
      <c r="D536"/>
    </row>
    <row r="537" spans="4:4" x14ac:dyDescent="0.3">
      <c r="D537"/>
    </row>
    <row r="538" spans="4:4" x14ac:dyDescent="0.3">
      <c r="D538"/>
    </row>
    <row r="539" spans="4:4" x14ac:dyDescent="0.3">
      <c r="D539"/>
    </row>
    <row r="540" spans="4:4" x14ac:dyDescent="0.3">
      <c r="D540"/>
    </row>
    <row r="541" spans="4:4" x14ac:dyDescent="0.3">
      <c r="D541"/>
    </row>
    <row r="542" spans="4:4" x14ac:dyDescent="0.3">
      <c r="D542"/>
    </row>
    <row r="543" spans="4:4" x14ac:dyDescent="0.3">
      <c r="D543"/>
    </row>
    <row r="544" spans="4:4" x14ac:dyDescent="0.3">
      <c r="D544"/>
    </row>
    <row r="545" spans="4:4" x14ac:dyDescent="0.3">
      <c r="D545"/>
    </row>
    <row r="546" spans="4:4" x14ac:dyDescent="0.3">
      <c r="D546"/>
    </row>
    <row r="547" spans="4:4" x14ac:dyDescent="0.3">
      <c r="D547"/>
    </row>
    <row r="548" spans="4:4" x14ac:dyDescent="0.3">
      <c r="D548"/>
    </row>
    <row r="549" spans="4:4" x14ac:dyDescent="0.3">
      <c r="D549"/>
    </row>
    <row r="550" spans="4:4" x14ac:dyDescent="0.3">
      <c r="D550"/>
    </row>
    <row r="551" spans="4:4" x14ac:dyDescent="0.3">
      <c r="D551"/>
    </row>
    <row r="552" spans="4:4" x14ac:dyDescent="0.3">
      <c r="D552"/>
    </row>
    <row r="553" spans="4:4" x14ac:dyDescent="0.3">
      <c r="D553"/>
    </row>
    <row r="554" spans="4:4" x14ac:dyDescent="0.3">
      <c r="D554"/>
    </row>
    <row r="555" spans="4:4" x14ac:dyDescent="0.3">
      <c r="D555"/>
    </row>
    <row r="556" spans="4:4" x14ac:dyDescent="0.3">
      <c r="D556"/>
    </row>
    <row r="557" spans="4:4" x14ac:dyDescent="0.3">
      <c r="D557"/>
    </row>
    <row r="558" spans="4:4" x14ac:dyDescent="0.3">
      <c r="D558"/>
    </row>
    <row r="559" spans="4:4" x14ac:dyDescent="0.3">
      <c r="D559"/>
    </row>
    <row r="560" spans="4:4" x14ac:dyDescent="0.3">
      <c r="D560"/>
    </row>
    <row r="561" spans="4:4" x14ac:dyDescent="0.3">
      <c r="D561"/>
    </row>
    <row r="562" spans="4:4" x14ac:dyDescent="0.3">
      <c r="D562"/>
    </row>
    <row r="563" spans="4:4" x14ac:dyDescent="0.3">
      <c r="D563"/>
    </row>
    <row r="564" spans="4:4" x14ac:dyDescent="0.3">
      <c r="D564"/>
    </row>
    <row r="565" spans="4:4" x14ac:dyDescent="0.3">
      <c r="D565"/>
    </row>
    <row r="566" spans="4:4" x14ac:dyDescent="0.3">
      <c r="D566"/>
    </row>
    <row r="567" spans="4:4" x14ac:dyDescent="0.3">
      <c r="D567"/>
    </row>
    <row r="568" spans="4:4" x14ac:dyDescent="0.3">
      <c r="D568"/>
    </row>
    <row r="569" spans="4:4" x14ac:dyDescent="0.3">
      <c r="D569"/>
    </row>
    <row r="570" spans="4:4" x14ac:dyDescent="0.3">
      <c r="D570"/>
    </row>
    <row r="571" spans="4:4" x14ac:dyDescent="0.3">
      <c r="D571"/>
    </row>
    <row r="572" spans="4:4" x14ac:dyDescent="0.3">
      <c r="D572"/>
    </row>
    <row r="573" spans="4:4" x14ac:dyDescent="0.3">
      <c r="D573"/>
    </row>
    <row r="574" spans="4:4" x14ac:dyDescent="0.3">
      <c r="D574"/>
    </row>
    <row r="575" spans="4:4" x14ac:dyDescent="0.3">
      <c r="D575"/>
    </row>
    <row r="576" spans="4:4" x14ac:dyDescent="0.3">
      <c r="D576"/>
    </row>
    <row r="577" spans="4:4" x14ac:dyDescent="0.3">
      <c r="D577"/>
    </row>
    <row r="578" spans="4:4" x14ac:dyDescent="0.3">
      <c r="D578"/>
    </row>
    <row r="579" spans="4:4" x14ac:dyDescent="0.3">
      <c r="D579"/>
    </row>
    <row r="580" spans="4:4" x14ac:dyDescent="0.3">
      <c r="D580"/>
    </row>
    <row r="581" spans="4:4" x14ac:dyDescent="0.3">
      <c r="D581"/>
    </row>
    <row r="582" spans="4:4" x14ac:dyDescent="0.3">
      <c r="D582"/>
    </row>
    <row r="583" spans="4:4" x14ac:dyDescent="0.3">
      <c r="D583"/>
    </row>
    <row r="584" spans="4:4" x14ac:dyDescent="0.3">
      <c r="D584"/>
    </row>
    <row r="585" spans="4:4" x14ac:dyDescent="0.3">
      <c r="D585"/>
    </row>
    <row r="586" spans="4:4" x14ac:dyDescent="0.3">
      <c r="D586"/>
    </row>
    <row r="587" spans="4:4" x14ac:dyDescent="0.3">
      <c r="D587"/>
    </row>
    <row r="588" spans="4:4" x14ac:dyDescent="0.3">
      <c r="D588"/>
    </row>
    <row r="589" spans="4:4" x14ac:dyDescent="0.3">
      <c r="D589"/>
    </row>
    <row r="590" spans="4:4" x14ac:dyDescent="0.3">
      <c r="D590"/>
    </row>
    <row r="591" spans="4:4" x14ac:dyDescent="0.3">
      <c r="D591"/>
    </row>
    <row r="592" spans="4:4" x14ac:dyDescent="0.3">
      <c r="D592"/>
    </row>
    <row r="593" spans="4:4" x14ac:dyDescent="0.3">
      <c r="D593"/>
    </row>
    <row r="594" spans="4:4" x14ac:dyDescent="0.3">
      <c r="D594"/>
    </row>
    <row r="595" spans="4:4" x14ac:dyDescent="0.3">
      <c r="D595"/>
    </row>
    <row r="596" spans="4:4" x14ac:dyDescent="0.3">
      <c r="D596"/>
    </row>
    <row r="597" spans="4:4" x14ac:dyDescent="0.3">
      <c r="D597"/>
    </row>
    <row r="598" spans="4:4" x14ac:dyDescent="0.3">
      <c r="D598"/>
    </row>
    <row r="599" spans="4:4" x14ac:dyDescent="0.3">
      <c r="D599"/>
    </row>
    <row r="600" spans="4:4" x14ac:dyDescent="0.3">
      <c r="D600"/>
    </row>
    <row r="601" spans="4:4" x14ac:dyDescent="0.3">
      <c r="D601"/>
    </row>
    <row r="602" spans="4:4" x14ac:dyDescent="0.3">
      <c r="D602"/>
    </row>
    <row r="603" spans="4:4" x14ac:dyDescent="0.3">
      <c r="D603"/>
    </row>
    <row r="604" spans="4:4" x14ac:dyDescent="0.3">
      <c r="D604"/>
    </row>
    <row r="605" spans="4:4" x14ac:dyDescent="0.3">
      <c r="D605"/>
    </row>
    <row r="606" spans="4:4" x14ac:dyDescent="0.3">
      <c r="D606"/>
    </row>
    <row r="607" spans="4:4" x14ac:dyDescent="0.3">
      <c r="D607"/>
    </row>
    <row r="608" spans="4:4" x14ac:dyDescent="0.3">
      <c r="D608"/>
    </row>
    <row r="609" spans="4:4" x14ac:dyDescent="0.3">
      <c r="D609"/>
    </row>
    <row r="610" spans="4:4" x14ac:dyDescent="0.3">
      <c r="D610"/>
    </row>
    <row r="611" spans="4:4" x14ac:dyDescent="0.3">
      <c r="D611"/>
    </row>
    <row r="612" spans="4:4" x14ac:dyDescent="0.3">
      <c r="D612"/>
    </row>
    <row r="613" spans="4:4" x14ac:dyDescent="0.3">
      <c r="D613"/>
    </row>
    <row r="614" spans="4:4" x14ac:dyDescent="0.3">
      <c r="D614"/>
    </row>
    <row r="615" spans="4:4" x14ac:dyDescent="0.3">
      <c r="D615"/>
    </row>
    <row r="616" spans="4:4" x14ac:dyDescent="0.3">
      <c r="D616"/>
    </row>
    <row r="617" spans="4:4" x14ac:dyDescent="0.3">
      <c r="D617"/>
    </row>
    <row r="618" spans="4:4" x14ac:dyDescent="0.3">
      <c r="D618"/>
    </row>
    <row r="619" spans="4:4" x14ac:dyDescent="0.3">
      <c r="D619"/>
    </row>
    <row r="620" spans="4:4" x14ac:dyDescent="0.3">
      <c r="D620"/>
    </row>
    <row r="621" spans="4:4" x14ac:dyDescent="0.3">
      <c r="D621"/>
    </row>
    <row r="622" spans="4:4" x14ac:dyDescent="0.3">
      <c r="D622"/>
    </row>
    <row r="623" spans="4:4" x14ac:dyDescent="0.3">
      <c r="D623"/>
    </row>
    <row r="624" spans="4:4" x14ac:dyDescent="0.3">
      <c r="D624"/>
    </row>
    <row r="625" spans="4:4" x14ac:dyDescent="0.3">
      <c r="D625"/>
    </row>
    <row r="626" spans="4:4" x14ac:dyDescent="0.3">
      <c r="D626"/>
    </row>
    <row r="627" spans="4:4" x14ac:dyDescent="0.3">
      <c r="D627"/>
    </row>
    <row r="628" spans="4:4" x14ac:dyDescent="0.3">
      <c r="D628"/>
    </row>
    <row r="629" spans="4:4" x14ac:dyDescent="0.3">
      <c r="D629"/>
    </row>
    <row r="630" spans="4:4" x14ac:dyDescent="0.3">
      <c r="D630"/>
    </row>
    <row r="631" spans="4:4" x14ac:dyDescent="0.3">
      <c r="D631"/>
    </row>
    <row r="632" spans="4:4" x14ac:dyDescent="0.3">
      <c r="D632"/>
    </row>
    <row r="633" spans="4:4" x14ac:dyDescent="0.3">
      <c r="D633"/>
    </row>
    <row r="634" spans="4:4" x14ac:dyDescent="0.3">
      <c r="D634"/>
    </row>
    <row r="635" spans="4:4" x14ac:dyDescent="0.3">
      <c r="D635"/>
    </row>
    <row r="636" spans="4:4" x14ac:dyDescent="0.3">
      <c r="D636"/>
    </row>
    <row r="637" spans="4:4" x14ac:dyDescent="0.3">
      <c r="D637"/>
    </row>
    <row r="638" spans="4:4" x14ac:dyDescent="0.3">
      <c r="D638"/>
    </row>
    <row r="639" spans="4:4" x14ac:dyDescent="0.3">
      <c r="D639"/>
    </row>
    <row r="640" spans="4:4" x14ac:dyDescent="0.3">
      <c r="D640"/>
    </row>
    <row r="641" spans="4:4" x14ac:dyDescent="0.3">
      <c r="D641"/>
    </row>
    <row r="642" spans="4:4" x14ac:dyDescent="0.3">
      <c r="D642"/>
    </row>
    <row r="643" spans="4:4" x14ac:dyDescent="0.3">
      <c r="D643"/>
    </row>
    <row r="644" spans="4:4" x14ac:dyDescent="0.3">
      <c r="D644"/>
    </row>
    <row r="645" spans="4:4" x14ac:dyDescent="0.3">
      <c r="D645"/>
    </row>
    <row r="646" spans="4:4" x14ac:dyDescent="0.3">
      <c r="D646"/>
    </row>
    <row r="647" spans="4:4" x14ac:dyDescent="0.3">
      <c r="D647"/>
    </row>
    <row r="648" spans="4:4" x14ac:dyDescent="0.3">
      <c r="D648"/>
    </row>
    <row r="649" spans="4:4" x14ac:dyDescent="0.3">
      <c r="D649"/>
    </row>
    <row r="650" spans="4:4" x14ac:dyDescent="0.3">
      <c r="D650"/>
    </row>
    <row r="651" spans="4:4" x14ac:dyDescent="0.3">
      <c r="D651"/>
    </row>
    <row r="652" spans="4:4" x14ac:dyDescent="0.3">
      <c r="D652"/>
    </row>
    <row r="653" spans="4:4" x14ac:dyDescent="0.3">
      <c r="D653"/>
    </row>
    <row r="654" spans="4:4" x14ac:dyDescent="0.3">
      <c r="D654"/>
    </row>
    <row r="655" spans="4:4" x14ac:dyDescent="0.3">
      <c r="D655"/>
    </row>
    <row r="656" spans="4:4" x14ac:dyDescent="0.3">
      <c r="D656"/>
    </row>
    <row r="657" spans="4:4" x14ac:dyDescent="0.3">
      <c r="D657"/>
    </row>
    <row r="658" spans="4:4" x14ac:dyDescent="0.3">
      <c r="D658"/>
    </row>
    <row r="659" spans="4:4" x14ac:dyDescent="0.3">
      <c r="D659"/>
    </row>
    <row r="660" spans="4:4" x14ac:dyDescent="0.3">
      <c r="D660"/>
    </row>
    <row r="661" spans="4:4" x14ac:dyDescent="0.3">
      <c r="D661"/>
    </row>
    <row r="662" spans="4:4" x14ac:dyDescent="0.3">
      <c r="D662"/>
    </row>
    <row r="663" spans="4:4" x14ac:dyDescent="0.3">
      <c r="D663"/>
    </row>
    <row r="664" spans="4:4" x14ac:dyDescent="0.3">
      <c r="D664"/>
    </row>
    <row r="665" spans="4:4" x14ac:dyDescent="0.3">
      <c r="D665"/>
    </row>
    <row r="666" spans="4:4" x14ac:dyDescent="0.3">
      <c r="D666"/>
    </row>
    <row r="667" spans="4:4" x14ac:dyDescent="0.3">
      <c r="D667"/>
    </row>
    <row r="668" spans="4:4" x14ac:dyDescent="0.3">
      <c r="D668"/>
    </row>
    <row r="669" spans="4:4" x14ac:dyDescent="0.3">
      <c r="D669"/>
    </row>
    <row r="670" spans="4:4" x14ac:dyDescent="0.3">
      <c r="D670"/>
    </row>
    <row r="671" spans="4:4" x14ac:dyDescent="0.3">
      <c r="D671"/>
    </row>
    <row r="672" spans="4:4" x14ac:dyDescent="0.3">
      <c r="D672"/>
    </row>
    <row r="673" spans="4:4" x14ac:dyDescent="0.3">
      <c r="D673"/>
    </row>
    <row r="674" spans="4:4" x14ac:dyDescent="0.3">
      <c r="D674"/>
    </row>
    <row r="675" spans="4:4" x14ac:dyDescent="0.3">
      <c r="D675"/>
    </row>
    <row r="676" spans="4:4" x14ac:dyDescent="0.3">
      <c r="D676"/>
    </row>
    <row r="677" spans="4:4" x14ac:dyDescent="0.3">
      <c r="D677"/>
    </row>
    <row r="678" spans="4:4" x14ac:dyDescent="0.3">
      <c r="D678"/>
    </row>
    <row r="679" spans="4:4" x14ac:dyDescent="0.3">
      <c r="D679"/>
    </row>
    <row r="680" spans="4:4" x14ac:dyDescent="0.3">
      <c r="D680"/>
    </row>
    <row r="681" spans="4:4" x14ac:dyDescent="0.3">
      <c r="D681"/>
    </row>
    <row r="682" spans="4:4" x14ac:dyDescent="0.3">
      <c r="D682"/>
    </row>
    <row r="683" spans="4:4" x14ac:dyDescent="0.3">
      <c r="D683"/>
    </row>
    <row r="684" spans="4:4" x14ac:dyDescent="0.3">
      <c r="D684"/>
    </row>
    <row r="685" spans="4:4" x14ac:dyDescent="0.3">
      <c r="D685"/>
    </row>
    <row r="686" spans="4:4" x14ac:dyDescent="0.3">
      <c r="D686"/>
    </row>
    <row r="687" spans="4:4" x14ac:dyDescent="0.3">
      <c r="D687"/>
    </row>
    <row r="688" spans="4:4" x14ac:dyDescent="0.3">
      <c r="D688"/>
    </row>
    <row r="689" spans="4:4" x14ac:dyDescent="0.3">
      <c r="D689"/>
    </row>
    <row r="690" spans="4:4" x14ac:dyDescent="0.3">
      <c r="D690"/>
    </row>
    <row r="691" spans="4:4" x14ac:dyDescent="0.3">
      <c r="D691"/>
    </row>
    <row r="692" spans="4:4" x14ac:dyDescent="0.3">
      <c r="D692"/>
    </row>
    <row r="693" spans="4:4" x14ac:dyDescent="0.3">
      <c r="D693"/>
    </row>
    <row r="694" spans="4:4" x14ac:dyDescent="0.3">
      <c r="D694"/>
    </row>
    <row r="695" spans="4:4" x14ac:dyDescent="0.3">
      <c r="D695"/>
    </row>
    <row r="696" spans="4:4" x14ac:dyDescent="0.3">
      <c r="D696"/>
    </row>
    <row r="697" spans="4:4" x14ac:dyDescent="0.3">
      <c r="D697"/>
    </row>
    <row r="698" spans="4:4" x14ac:dyDescent="0.3">
      <c r="D698"/>
    </row>
    <row r="699" spans="4:4" x14ac:dyDescent="0.3">
      <c r="D699"/>
    </row>
    <row r="700" spans="4:4" x14ac:dyDescent="0.3">
      <c r="D700"/>
    </row>
    <row r="701" spans="4:4" x14ac:dyDescent="0.3">
      <c r="D701"/>
    </row>
    <row r="702" spans="4:4" x14ac:dyDescent="0.3">
      <c r="D702"/>
    </row>
    <row r="703" spans="4:4" x14ac:dyDescent="0.3">
      <c r="D703"/>
    </row>
    <row r="704" spans="4:4" x14ac:dyDescent="0.3">
      <c r="D704"/>
    </row>
    <row r="705" spans="4:4" x14ac:dyDescent="0.3">
      <c r="D705"/>
    </row>
    <row r="706" spans="4:4" x14ac:dyDescent="0.3">
      <c r="D706"/>
    </row>
    <row r="707" spans="4:4" x14ac:dyDescent="0.3">
      <c r="D707"/>
    </row>
    <row r="708" spans="4:4" x14ac:dyDescent="0.3">
      <c r="D708"/>
    </row>
    <row r="709" spans="4:4" x14ac:dyDescent="0.3">
      <c r="D709"/>
    </row>
    <row r="710" spans="4:4" x14ac:dyDescent="0.3">
      <c r="D710"/>
    </row>
    <row r="711" spans="4:4" x14ac:dyDescent="0.3">
      <c r="D711"/>
    </row>
    <row r="712" spans="4:4" x14ac:dyDescent="0.3">
      <c r="D712"/>
    </row>
    <row r="713" spans="4:4" x14ac:dyDescent="0.3">
      <c r="D713"/>
    </row>
    <row r="714" spans="4:4" x14ac:dyDescent="0.3">
      <c r="D714"/>
    </row>
    <row r="715" spans="4:4" x14ac:dyDescent="0.3">
      <c r="D715"/>
    </row>
    <row r="716" spans="4:4" x14ac:dyDescent="0.3">
      <c r="D716"/>
    </row>
    <row r="717" spans="4:4" x14ac:dyDescent="0.3">
      <c r="D717"/>
    </row>
    <row r="718" spans="4:4" x14ac:dyDescent="0.3">
      <c r="D718"/>
    </row>
    <row r="719" spans="4:4" x14ac:dyDescent="0.3">
      <c r="D719"/>
    </row>
    <row r="720" spans="4:4" x14ac:dyDescent="0.3">
      <c r="D720"/>
    </row>
    <row r="721" spans="4:4" x14ac:dyDescent="0.3">
      <c r="D721"/>
    </row>
    <row r="722" spans="4:4" x14ac:dyDescent="0.3">
      <c r="D722"/>
    </row>
    <row r="723" spans="4:4" x14ac:dyDescent="0.3">
      <c r="D723"/>
    </row>
    <row r="724" spans="4:4" x14ac:dyDescent="0.3">
      <c r="D724"/>
    </row>
    <row r="725" spans="4:4" x14ac:dyDescent="0.3">
      <c r="D725"/>
    </row>
    <row r="726" spans="4:4" x14ac:dyDescent="0.3">
      <c r="D726"/>
    </row>
    <row r="727" spans="4:4" x14ac:dyDescent="0.3">
      <c r="D727"/>
    </row>
    <row r="728" spans="4:4" x14ac:dyDescent="0.3">
      <c r="D728"/>
    </row>
    <row r="729" spans="4:4" x14ac:dyDescent="0.3">
      <c r="D729"/>
    </row>
    <row r="730" spans="4:4" x14ac:dyDescent="0.3">
      <c r="D730"/>
    </row>
    <row r="731" spans="4:4" x14ac:dyDescent="0.3">
      <c r="D731"/>
    </row>
    <row r="732" spans="4:4" x14ac:dyDescent="0.3">
      <c r="D732"/>
    </row>
    <row r="733" spans="4:4" x14ac:dyDescent="0.3">
      <c r="D733"/>
    </row>
    <row r="734" spans="4:4" x14ac:dyDescent="0.3">
      <c r="D734"/>
    </row>
    <row r="735" spans="4:4" x14ac:dyDescent="0.3">
      <c r="D735"/>
    </row>
    <row r="736" spans="4:4" x14ac:dyDescent="0.3">
      <c r="D736"/>
    </row>
    <row r="737" spans="4:4" x14ac:dyDescent="0.3">
      <c r="D737"/>
    </row>
    <row r="738" spans="4:4" x14ac:dyDescent="0.3">
      <c r="D738"/>
    </row>
    <row r="739" spans="4:4" x14ac:dyDescent="0.3">
      <c r="D739"/>
    </row>
    <row r="740" spans="4:4" x14ac:dyDescent="0.3">
      <c r="D740"/>
    </row>
    <row r="741" spans="4:4" x14ac:dyDescent="0.3">
      <c r="D741"/>
    </row>
    <row r="742" spans="4:4" x14ac:dyDescent="0.3">
      <c r="D742"/>
    </row>
    <row r="743" spans="4:4" x14ac:dyDescent="0.3">
      <c r="D743"/>
    </row>
    <row r="744" spans="4:4" x14ac:dyDescent="0.3">
      <c r="D744"/>
    </row>
    <row r="745" spans="4:4" x14ac:dyDescent="0.3">
      <c r="D745"/>
    </row>
    <row r="746" spans="4:4" x14ac:dyDescent="0.3">
      <c r="D746"/>
    </row>
    <row r="747" spans="4:4" x14ac:dyDescent="0.3">
      <c r="D747"/>
    </row>
    <row r="748" spans="4:4" x14ac:dyDescent="0.3">
      <c r="D748"/>
    </row>
    <row r="749" spans="4:4" x14ac:dyDescent="0.3">
      <c r="D749"/>
    </row>
    <row r="750" spans="4:4" x14ac:dyDescent="0.3">
      <c r="D750"/>
    </row>
    <row r="751" spans="4:4" x14ac:dyDescent="0.3">
      <c r="D751"/>
    </row>
    <row r="752" spans="4:4" x14ac:dyDescent="0.3">
      <c r="D752"/>
    </row>
    <row r="753" spans="4:4" x14ac:dyDescent="0.3">
      <c r="D753"/>
    </row>
    <row r="754" spans="4:4" x14ac:dyDescent="0.3">
      <c r="D754"/>
    </row>
    <row r="755" spans="4:4" x14ac:dyDescent="0.3">
      <c r="D755"/>
    </row>
    <row r="756" spans="4:4" x14ac:dyDescent="0.3">
      <c r="D756"/>
    </row>
    <row r="757" spans="4:4" x14ac:dyDescent="0.3">
      <c r="D757"/>
    </row>
    <row r="758" spans="4:4" x14ac:dyDescent="0.3">
      <c r="D758"/>
    </row>
    <row r="759" spans="4:4" x14ac:dyDescent="0.3">
      <c r="D759"/>
    </row>
    <row r="760" spans="4:4" x14ac:dyDescent="0.3">
      <c r="D760"/>
    </row>
    <row r="761" spans="4:4" x14ac:dyDescent="0.3">
      <c r="D761"/>
    </row>
    <row r="762" spans="4:4" x14ac:dyDescent="0.3">
      <c r="D762"/>
    </row>
    <row r="763" spans="4:4" x14ac:dyDescent="0.3">
      <c r="D763"/>
    </row>
    <row r="764" spans="4:4" x14ac:dyDescent="0.3">
      <c r="D764"/>
    </row>
    <row r="765" spans="4:4" x14ac:dyDescent="0.3">
      <c r="D765"/>
    </row>
    <row r="766" spans="4:4" x14ac:dyDescent="0.3">
      <c r="D766"/>
    </row>
    <row r="767" spans="4:4" x14ac:dyDescent="0.3">
      <c r="D767"/>
    </row>
    <row r="768" spans="4:4" x14ac:dyDescent="0.3">
      <c r="D768"/>
    </row>
    <row r="769" spans="4:4" x14ac:dyDescent="0.3">
      <c r="D769"/>
    </row>
    <row r="770" spans="4:4" x14ac:dyDescent="0.3">
      <c r="D770"/>
    </row>
    <row r="771" spans="4:4" x14ac:dyDescent="0.3">
      <c r="D771"/>
    </row>
    <row r="772" spans="4:4" x14ac:dyDescent="0.3">
      <c r="D772"/>
    </row>
    <row r="773" spans="4:4" x14ac:dyDescent="0.3">
      <c r="D773"/>
    </row>
    <row r="774" spans="4:4" x14ac:dyDescent="0.3">
      <c r="D774"/>
    </row>
    <row r="775" spans="4:4" x14ac:dyDescent="0.3">
      <c r="D775"/>
    </row>
    <row r="776" spans="4:4" x14ac:dyDescent="0.3">
      <c r="D776"/>
    </row>
    <row r="777" spans="4:4" x14ac:dyDescent="0.3">
      <c r="D777"/>
    </row>
    <row r="778" spans="4:4" x14ac:dyDescent="0.3">
      <c r="D778"/>
    </row>
    <row r="779" spans="4:4" x14ac:dyDescent="0.3">
      <c r="D779"/>
    </row>
    <row r="780" spans="4:4" x14ac:dyDescent="0.3">
      <c r="D780"/>
    </row>
    <row r="781" spans="4:4" x14ac:dyDescent="0.3">
      <c r="D781"/>
    </row>
    <row r="782" spans="4:4" x14ac:dyDescent="0.3">
      <c r="D782"/>
    </row>
    <row r="783" spans="4:4" x14ac:dyDescent="0.3">
      <c r="D783"/>
    </row>
    <row r="784" spans="4:4" x14ac:dyDescent="0.3">
      <c r="D784"/>
    </row>
    <row r="785" spans="4:4" x14ac:dyDescent="0.3">
      <c r="D785"/>
    </row>
    <row r="786" spans="4:4" x14ac:dyDescent="0.3">
      <c r="D786"/>
    </row>
    <row r="787" spans="4:4" x14ac:dyDescent="0.3">
      <c r="D787"/>
    </row>
    <row r="788" spans="4:4" x14ac:dyDescent="0.3">
      <c r="D788"/>
    </row>
    <row r="789" spans="4:4" x14ac:dyDescent="0.3">
      <c r="D789"/>
    </row>
    <row r="790" spans="4:4" x14ac:dyDescent="0.3">
      <c r="D790"/>
    </row>
    <row r="791" spans="4:4" x14ac:dyDescent="0.3">
      <c r="D791"/>
    </row>
    <row r="792" spans="4:4" x14ac:dyDescent="0.3">
      <c r="D792"/>
    </row>
    <row r="793" spans="4:4" x14ac:dyDescent="0.3">
      <c r="D793"/>
    </row>
    <row r="794" spans="4:4" x14ac:dyDescent="0.3">
      <c r="D794"/>
    </row>
    <row r="795" spans="4:4" x14ac:dyDescent="0.3">
      <c r="D795"/>
    </row>
    <row r="796" spans="4:4" x14ac:dyDescent="0.3">
      <c r="D796"/>
    </row>
    <row r="797" spans="4:4" x14ac:dyDescent="0.3">
      <c r="D797"/>
    </row>
    <row r="798" spans="4:4" x14ac:dyDescent="0.3">
      <c r="D798"/>
    </row>
    <row r="799" spans="4:4" x14ac:dyDescent="0.3">
      <c r="D799"/>
    </row>
    <row r="800" spans="4:4" x14ac:dyDescent="0.3">
      <c r="D800"/>
    </row>
    <row r="801" spans="4:4" x14ac:dyDescent="0.3">
      <c r="D801"/>
    </row>
    <row r="802" spans="4:4" x14ac:dyDescent="0.3">
      <c r="D802"/>
    </row>
    <row r="803" spans="4:4" x14ac:dyDescent="0.3">
      <c r="D803"/>
    </row>
    <row r="804" spans="4:4" x14ac:dyDescent="0.3">
      <c r="D804"/>
    </row>
    <row r="805" spans="4:4" x14ac:dyDescent="0.3">
      <c r="D805"/>
    </row>
    <row r="806" spans="4:4" x14ac:dyDescent="0.3">
      <c r="D806"/>
    </row>
    <row r="807" spans="4:4" x14ac:dyDescent="0.3">
      <c r="D807"/>
    </row>
    <row r="808" spans="4:4" x14ac:dyDescent="0.3">
      <c r="D808"/>
    </row>
    <row r="809" spans="4:4" x14ac:dyDescent="0.3">
      <c r="D809"/>
    </row>
    <row r="810" spans="4:4" x14ac:dyDescent="0.3">
      <c r="D810"/>
    </row>
    <row r="811" spans="4:4" x14ac:dyDescent="0.3">
      <c r="D811"/>
    </row>
    <row r="812" spans="4:4" x14ac:dyDescent="0.3">
      <c r="D812"/>
    </row>
    <row r="813" spans="4:4" x14ac:dyDescent="0.3">
      <c r="D813"/>
    </row>
    <row r="814" spans="4:4" x14ac:dyDescent="0.3">
      <c r="D814"/>
    </row>
    <row r="815" spans="4:4" x14ac:dyDescent="0.3">
      <c r="D815"/>
    </row>
    <row r="816" spans="4:4" x14ac:dyDescent="0.3">
      <c r="D816"/>
    </row>
    <row r="817" spans="4:4" x14ac:dyDescent="0.3">
      <c r="D817"/>
    </row>
    <row r="818" spans="4:4" x14ac:dyDescent="0.3">
      <c r="D818"/>
    </row>
    <row r="819" spans="4:4" x14ac:dyDescent="0.3">
      <c r="D819"/>
    </row>
    <row r="820" spans="4:4" x14ac:dyDescent="0.3">
      <c r="D820"/>
    </row>
    <row r="821" spans="4:4" x14ac:dyDescent="0.3">
      <c r="D821"/>
    </row>
    <row r="822" spans="4:4" x14ac:dyDescent="0.3">
      <c r="D822"/>
    </row>
    <row r="823" spans="4:4" x14ac:dyDescent="0.3">
      <c r="D823"/>
    </row>
    <row r="824" spans="4:4" x14ac:dyDescent="0.3">
      <c r="D824"/>
    </row>
    <row r="825" spans="4:4" x14ac:dyDescent="0.3">
      <c r="D825"/>
    </row>
    <row r="826" spans="4:4" x14ac:dyDescent="0.3">
      <c r="D826"/>
    </row>
    <row r="827" spans="4:4" x14ac:dyDescent="0.3">
      <c r="D827"/>
    </row>
    <row r="828" spans="4:4" x14ac:dyDescent="0.3">
      <c r="D828"/>
    </row>
    <row r="829" spans="4:4" x14ac:dyDescent="0.3">
      <c r="D829"/>
    </row>
    <row r="830" spans="4:4" x14ac:dyDescent="0.3">
      <c r="D830"/>
    </row>
    <row r="831" spans="4:4" x14ac:dyDescent="0.3">
      <c r="D831"/>
    </row>
    <row r="832" spans="4:4" x14ac:dyDescent="0.3">
      <c r="D832"/>
    </row>
    <row r="833" spans="4:4" x14ac:dyDescent="0.3">
      <c r="D833"/>
    </row>
    <row r="834" spans="4:4" x14ac:dyDescent="0.3">
      <c r="D834"/>
    </row>
    <row r="835" spans="4:4" x14ac:dyDescent="0.3">
      <c r="D835"/>
    </row>
    <row r="836" spans="4:4" x14ac:dyDescent="0.3">
      <c r="D836"/>
    </row>
    <row r="837" spans="4:4" x14ac:dyDescent="0.3">
      <c r="D837"/>
    </row>
    <row r="838" spans="4:4" x14ac:dyDescent="0.3">
      <c r="D838"/>
    </row>
    <row r="839" spans="4:4" x14ac:dyDescent="0.3">
      <c r="D839"/>
    </row>
    <row r="840" spans="4:4" x14ac:dyDescent="0.3">
      <c r="D840"/>
    </row>
    <row r="841" spans="4:4" x14ac:dyDescent="0.3">
      <c r="D841"/>
    </row>
    <row r="842" spans="4:4" x14ac:dyDescent="0.3">
      <c r="D842"/>
    </row>
    <row r="843" spans="4:4" x14ac:dyDescent="0.3">
      <c r="D843"/>
    </row>
    <row r="844" spans="4:4" x14ac:dyDescent="0.3">
      <c r="D844"/>
    </row>
    <row r="845" spans="4:4" x14ac:dyDescent="0.3">
      <c r="D845"/>
    </row>
    <row r="846" spans="4:4" x14ac:dyDescent="0.3">
      <c r="D846"/>
    </row>
    <row r="847" spans="4:4" x14ac:dyDescent="0.3">
      <c r="D847"/>
    </row>
    <row r="848" spans="4:4" x14ac:dyDescent="0.3">
      <c r="D848"/>
    </row>
    <row r="849" spans="4:4" x14ac:dyDescent="0.3">
      <c r="D849"/>
    </row>
    <row r="850" spans="4:4" x14ac:dyDescent="0.3">
      <c r="D850"/>
    </row>
    <row r="851" spans="4:4" x14ac:dyDescent="0.3">
      <c r="D851"/>
    </row>
    <row r="852" spans="4:4" x14ac:dyDescent="0.3">
      <c r="D852"/>
    </row>
    <row r="853" spans="4:4" x14ac:dyDescent="0.3">
      <c r="D853"/>
    </row>
    <row r="854" spans="4:4" x14ac:dyDescent="0.3">
      <c r="D854"/>
    </row>
    <row r="855" spans="4:4" x14ac:dyDescent="0.3">
      <c r="D855"/>
    </row>
    <row r="856" spans="4:4" x14ac:dyDescent="0.3">
      <c r="D856"/>
    </row>
    <row r="857" spans="4:4" x14ac:dyDescent="0.3">
      <c r="D857"/>
    </row>
    <row r="858" spans="4:4" x14ac:dyDescent="0.3">
      <c r="D858"/>
    </row>
    <row r="859" spans="4:4" x14ac:dyDescent="0.3">
      <c r="D859"/>
    </row>
    <row r="860" spans="4:4" x14ac:dyDescent="0.3">
      <c r="D860"/>
    </row>
    <row r="861" spans="4:4" x14ac:dyDescent="0.3">
      <c r="D861"/>
    </row>
    <row r="862" spans="4:4" x14ac:dyDescent="0.3">
      <c r="D862"/>
    </row>
    <row r="863" spans="4:4" x14ac:dyDescent="0.3">
      <c r="D863"/>
    </row>
    <row r="864" spans="4:4" x14ac:dyDescent="0.3">
      <c r="D864"/>
    </row>
    <row r="865" spans="4:4" x14ac:dyDescent="0.3">
      <c r="D865"/>
    </row>
    <row r="866" spans="4:4" x14ac:dyDescent="0.3">
      <c r="D866"/>
    </row>
    <row r="867" spans="4:4" x14ac:dyDescent="0.3">
      <c r="D867"/>
    </row>
    <row r="868" spans="4:4" x14ac:dyDescent="0.3">
      <c r="D868"/>
    </row>
    <row r="869" spans="4:4" x14ac:dyDescent="0.3">
      <c r="D869"/>
    </row>
    <row r="870" spans="4:4" x14ac:dyDescent="0.3">
      <c r="D870"/>
    </row>
    <row r="871" spans="4:4" x14ac:dyDescent="0.3">
      <c r="D871"/>
    </row>
    <row r="872" spans="4:4" x14ac:dyDescent="0.3">
      <c r="D872"/>
    </row>
    <row r="873" spans="4:4" x14ac:dyDescent="0.3">
      <c r="D873"/>
    </row>
    <row r="874" spans="4:4" x14ac:dyDescent="0.3">
      <c r="D874"/>
    </row>
    <row r="875" spans="4:4" x14ac:dyDescent="0.3">
      <c r="D875"/>
    </row>
    <row r="876" spans="4:4" x14ac:dyDescent="0.3">
      <c r="D876"/>
    </row>
    <row r="877" spans="4:4" x14ac:dyDescent="0.3">
      <c r="D877"/>
    </row>
    <row r="878" spans="4:4" x14ac:dyDescent="0.3">
      <c r="D878"/>
    </row>
    <row r="879" spans="4:4" x14ac:dyDescent="0.3">
      <c r="D879"/>
    </row>
    <row r="880" spans="4:4" x14ac:dyDescent="0.3">
      <c r="D880"/>
    </row>
    <row r="881" spans="4:4" x14ac:dyDescent="0.3">
      <c r="D881"/>
    </row>
    <row r="882" spans="4:4" x14ac:dyDescent="0.3">
      <c r="D882"/>
    </row>
    <row r="883" spans="4:4" x14ac:dyDescent="0.3">
      <c r="D883"/>
    </row>
    <row r="884" spans="4:4" x14ac:dyDescent="0.3">
      <c r="D884"/>
    </row>
    <row r="885" spans="4:4" x14ac:dyDescent="0.3">
      <c r="D885"/>
    </row>
    <row r="886" spans="4:4" x14ac:dyDescent="0.3">
      <c r="D886"/>
    </row>
    <row r="887" spans="4:4" x14ac:dyDescent="0.3">
      <c r="D887"/>
    </row>
    <row r="888" spans="4:4" x14ac:dyDescent="0.3">
      <c r="D888"/>
    </row>
    <row r="889" spans="4:4" x14ac:dyDescent="0.3">
      <c r="D889"/>
    </row>
    <row r="890" spans="4:4" x14ac:dyDescent="0.3">
      <c r="D890"/>
    </row>
    <row r="891" spans="4:4" x14ac:dyDescent="0.3">
      <c r="D891"/>
    </row>
    <row r="892" spans="4:4" x14ac:dyDescent="0.3">
      <c r="D892"/>
    </row>
    <row r="893" spans="4:4" x14ac:dyDescent="0.3">
      <c r="D893"/>
    </row>
    <row r="894" spans="4:4" x14ac:dyDescent="0.3">
      <c r="D894"/>
    </row>
    <row r="895" spans="4:4" x14ac:dyDescent="0.3">
      <c r="D895"/>
    </row>
    <row r="896" spans="4:4" x14ac:dyDescent="0.3">
      <c r="D896"/>
    </row>
    <row r="897" spans="4:4" x14ac:dyDescent="0.3">
      <c r="D897"/>
    </row>
    <row r="898" spans="4:4" x14ac:dyDescent="0.3">
      <c r="D898"/>
    </row>
    <row r="899" spans="4:4" x14ac:dyDescent="0.3">
      <c r="D899"/>
    </row>
    <row r="900" spans="4:4" x14ac:dyDescent="0.3">
      <c r="D900"/>
    </row>
    <row r="901" spans="4:4" x14ac:dyDescent="0.3">
      <c r="D901"/>
    </row>
    <row r="902" spans="4:4" x14ac:dyDescent="0.3">
      <c r="D902"/>
    </row>
    <row r="903" spans="4:4" x14ac:dyDescent="0.3">
      <c r="D903"/>
    </row>
    <row r="904" spans="4:4" x14ac:dyDescent="0.3">
      <c r="D904"/>
    </row>
    <row r="905" spans="4:4" x14ac:dyDescent="0.3">
      <c r="D905"/>
    </row>
    <row r="906" spans="4:4" x14ac:dyDescent="0.3">
      <c r="D906"/>
    </row>
    <row r="907" spans="4:4" x14ac:dyDescent="0.3">
      <c r="D907"/>
    </row>
    <row r="908" spans="4:4" x14ac:dyDescent="0.3">
      <c r="D908"/>
    </row>
    <row r="909" spans="4:4" x14ac:dyDescent="0.3">
      <c r="D909"/>
    </row>
    <row r="910" spans="4:4" x14ac:dyDescent="0.3">
      <c r="D910"/>
    </row>
    <row r="911" spans="4:4" x14ac:dyDescent="0.3">
      <c r="D911"/>
    </row>
    <row r="912" spans="4:4" x14ac:dyDescent="0.3">
      <c r="D912"/>
    </row>
    <row r="913" spans="4:4" x14ac:dyDescent="0.3">
      <c r="D913"/>
    </row>
    <row r="914" spans="4:4" x14ac:dyDescent="0.3">
      <c r="D914"/>
    </row>
    <row r="915" spans="4:4" x14ac:dyDescent="0.3">
      <c r="D915"/>
    </row>
    <row r="916" spans="4:4" x14ac:dyDescent="0.3">
      <c r="D916"/>
    </row>
    <row r="917" spans="4:4" x14ac:dyDescent="0.3">
      <c r="D917"/>
    </row>
    <row r="918" spans="4:4" x14ac:dyDescent="0.3">
      <c r="D918"/>
    </row>
    <row r="919" spans="4:4" x14ac:dyDescent="0.3">
      <c r="D919"/>
    </row>
    <row r="920" spans="4:4" x14ac:dyDescent="0.3">
      <c r="D920"/>
    </row>
    <row r="921" spans="4:4" x14ac:dyDescent="0.3">
      <c r="D921"/>
    </row>
    <row r="922" spans="4:4" x14ac:dyDescent="0.3">
      <c r="D922"/>
    </row>
    <row r="923" spans="4:4" x14ac:dyDescent="0.3">
      <c r="D923"/>
    </row>
    <row r="924" spans="4:4" x14ac:dyDescent="0.3">
      <c r="D924"/>
    </row>
    <row r="925" spans="4:4" x14ac:dyDescent="0.3">
      <c r="D925"/>
    </row>
    <row r="926" spans="4:4" x14ac:dyDescent="0.3">
      <c r="D926"/>
    </row>
    <row r="927" spans="4:4" x14ac:dyDescent="0.3">
      <c r="D927"/>
    </row>
    <row r="928" spans="4:4" x14ac:dyDescent="0.3">
      <c r="D928"/>
    </row>
    <row r="929" spans="4:4" x14ac:dyDescent="0.3">
      <c r="D929"/>
    </row>
    <row r="930" spans="4:4" x14ac:dyDescent="0.3">
      <c r="D930"/>
    </row>
    <row r="931" spans="4:4" x14ac:dyDescent="0.3">
      <c r="D931"/>
    </row>
    <row r="932" spans="4:4" x14ac:dyDescent="0.3">
      <c r="D932"/>
    </row>
    <row r="933" spans="4:4" x14ac:dyDescent="0.3">
      <c r="D933"/>
    </row>
    <row r="934" spans="4:4" x14ac:dyDescent="0.3">
      <c r="D934"/>
    </row>
    <row r="935" spans="4:4" x14ac:dyDescent="0.3">
      <c r="D935"/>
    </row>
    <row r="936" spans="4:4" x14ac:dyDescent="0.3">
      <c r="D936"/>
    </row>
    <row r="937" spans="4:4" x14ac:dyDescent="0.3">
      <c r="D937"/>
    </row>
    <row r="938" spans="4:4" x14ac:dyDescent="0.3">
      <c r="D938"/>
    </row>
    <row r="939" spans="4:4" x14ac:dyDescent="0.3">
      <c r="D939"/>
    </row>
    <row r="940" spans="4:4" x14ac:dyDescent="0.3">
      <c r="D940"/>
    </row>
    <row r="941" spans="4:4" x14ac:dyDescent="0.3">
      <c r="D941"/>
    </row>
    <row r="942" spans="4:4" x14ac:dyDescent="0.3">
      <c r="D942"/>
    </row>
    <row r="943" spans="4:4" x14ac:dyDescent="0.3">
      <c r="D943"/>
    </row>
    <row r="944" spans="4:4" x14ac:dyDescent="0.3">
      <c r="D944"/>
    </row>
    <row r="945" spans="4:4" x14ac:dyDescent="0.3">
      <c r="D945"/>
    </row>
    <row r="946" spans="4:4" x14ac:dyDescent="0.3">
      <c r="D946"/>
    </row>
    <row r="947" spans="4:4" x14ac:dyDescent="0.3">
      <c r="D947"/>
    </row>
    <row r="948" spans="4:4" x14ac:dyDescent="0.3">
      <c r="D948"/>
    </row>
    <row r="949" spans="4:4" x14ac:dyDescent="0.3">
      <c r="D949"/>
    </row>
    <row r="950" spans="4:4" x14ac:dyDescent="0.3">
      <c r="D950"/>
    </row>
    <row r="951" spans="4:4" x14ac:dyDescent="0.3">
      <c r="D951"/>
    </row>
    <row r="952" spans="4:4" x14ac:dyDescent="0.3">
      <c r="D952"/>
    </row>
    <row r="953" spans="4:4" x14ac:dyDescent="0.3">
      <c r="D953"/>
    </row>
    <row r="954" spans="4:4" x14ac:dyDescent="0.3">
      <c r="D954"/>
    </row>
    <row r="955" spans="4:4" x14ac:dyDescent="0.3">
      <c r="D955"/>
    </row>
    <row r="956" spans="4:4" x14ac:dyDescent="0.3">
      <c r="D956"/>
    </row>
    <row r="957" spans="4:4" x14ac:dyDescent="0.3">
      <c r="D957"/>
    </row>
    <row r="958" spans="4:4" x14ac:dyDescent="0.3">
      <c r="D958"/>
    </row>
    <row r="959" spans="4:4" x14ac:dyDescent="0.3">
      <c r="D959"/>
    </row>
    <row r="960" spans="4:4" x14ac:dyDescent="0.3">
      <c r="D960"/>
    </row>
    <row r="961" spans="4:4" x14ac:dyDescent="0.3">
      <c r="D961"/>
    </row>
    <row r="962" spans="4:4" x14ac:dyDescent="0.3">
      <c r="D962"/>
    </row>
    <row r="963" spans="4:4" x14ac:dyDescent="0.3">
      <c r="D963"/>
    </row>
    <row r="964" spans="4:4" x14ac:dyDescent="0.3">
      <c r="D964"/>
    </row>
    <row r="965" spans="4:4" x14ac:dyDescent="0.3">
      <c r="D965"/>
    </row>
    <row r="966" spans="4:4" x14ac:dyDescent="0.3">
      <c r="D966"/>
    </row>
    <row r="967" spans="4:4" x14ac:dyDescent="0.3">
      <c r="D967"/>
    </row>
    <row r="968" spans="4:4" x14ac:dyDescent="0.3">
      <c r="D968"/>
    </row>
    <row r="969" spans="4:4" x14ac:dyDescent="0.3">
      <c r="D969"/>
    </row>
    <row r="970" spans="4:4" x14ac:dyDescent="0.3">
      <c r="D970"/>
    </row>
    <row r="971" spans="4:4" x14ac:dyDescent="0.3">
      <c r="D971"/>
    </row>
    <row r="972" spans="4:4" x14ac:dyDescent="0.3">
      <c r="D972"/>
    </row>
    <row r="973" spans="4:4" x14ac:dyDescent="0.3">
      <c r="D973"/>
    </row>
    <row r="974" spans="4:4" x14ac:dyDescent="0.3">
      <c r="D974"/>
    </row>
    <row r="975" spans="4:4" x14ac:dyDescent="0.3">
      <c r="D975"/>
    </row>
    <row r="976" spans="4:4" x14ac:dyDescent="0.3">
      <c r="D976"/>
    </row>
    <row r="977" spans="4:4" x14ac:dyDescent="0.3">
      <c r="D977"/>
    </row>
    <row r="978" spans="4:4" x14ac:dyDescent="0.3">
      <c r="D978"/>
    </row>
    <row r="979" spans="4:4" x14ac:dyDescent="0.3">
      <c r="D979"/>
    </row>
    <row r="980" spans="4:4" x14ac:dyDescent="0.3">
      <c r="D980"/>
    </row>
    <row r="981" spans="4:4" x14ac:dyDescent="0.3">
      <c r="D981"/>
    </row>
    <row r="982" spans="4:4" x14ac:dyDescent="0.3">
      <c r="D982"/>
    </row>
    <row r="983" spans="4:4" x14ac:dyDescent="0.3">
      <c r="D983"/>
    </row>
    <row r="984" spans="4:4" x14ac:dyDescent="0.3">
      <c r="D984"/>
    </row>
    <row r="985" spans="4:4" x14ac:dyDescent="0.3">
      <c r="D985"/>
    </row>
    <row r="986" spans="4:4" x14ac:dyDescent="0.3">
      <c r="D986"/>
    </row>
    <row r="987" spans="4:4" x14ac:dyDescent="0.3">
      <c r="D987"/>
    </row>
    <row r="988" spans="4:4" x14ac:dyDescent="0.3">
      <c r="D988"/>
    </row>
    <row r="989" spans="4:4" x14ac:dyDescent="0.3">
      <c r="D989"/>
    </row>
    <row r="990" spans="4:4" x14ac:dyDescent="0.3">
      <c r="D990"/>
    </row>
    <row r="991" spans="4:4" x14ac:dyDescent="0.3">
      <c r="D991"/>
    </row>
    <row r="992" spans="4:4" x14ac:dyDescent="0.3">
      <c r="D992"/>
    </row>
    <row r="993" spans="4:4" x14ac:dyDescent="0.3">
      <c r="D993"/>
    </row>
    <row r="994" spans="4:4" x14ac:dyDescent="0.3">
      <c r="D994"/>
    </row>
    <row r="995" spans="4:4" x14ac:dyDescent="0.3">
      <c r="D995"/>
    </row>
    <row r="996" spans="4:4" x14ac:dyDescent="0.3">
      <c r="D996"/>
    </row>
    <row r="997" spans="4:4" x14ac:dyDescent="0.3">
      <c r="D997"/>
    </row>
    <row r="998" spans="4:4" x14ac:dyDescent="0.3">
      <c r="D998"/>
    </row>
    <row r="999" spans="4:4" x14ac:dyDescent="0.3">
      <c r="D999"/>
    </row>
    <row r="1000" spans="4:4" x14ac:dyDescent="0.3">
      <c r="D1000"/>
    </row>
  </sheetData>
  <sortState xmlns:xlrd2="http://schemas.microsoft.com/office/spreadsheetml/2017/richdata2" ref="A8:S50">
    <sortCondition descending="1" ref="S8"/>
  </sortState>
  <mergeCells count="6">
    <mergeCell ref="Q5:R5"/>
    <mergeCell ref="I5:N5"/>
    <mergeCell ref="I6:J6"/>
    <mergeCell ref="L6:M6"/>
    <mergeCell ref="G3:K3"/>
    <mergeCell ref="E6:G6"/>
  </mergeCells>
  <hyperlinks>
    <hyperlink ref="A8" location="$A$8" display="$A$8" xr:uid="{DA856F78-C939-4994-8C48-05D63AC129F4}"/>
    <hyperlink ref="A9" location="$A$9" display="$A$9" xr:uid="{C5861D4C-8FF4-4ED9-BF42-FD5821E9DA4A}"/>
    <hyperlink ref="A10" location="$A$10" display="$A$10" xr:uid="{F3BDDD55-1140-486E-A664-F6EB2450B567}"/>
    <hyperlink ref="A11" location="$A$11" display="$A$11" xr:uid="{432218F5-46C8-44A6-A1FF-F6A325C5EC17}"/>
    <hyperlink ref="A12" location="$A$12" display="$A$12" xr:uid="{C74DF45D-C1E3-4CB5-B143-42DC113BC761}"/>
    <hyperlink ref="A13" location="$A$13" display="$A$13" xr:uid="{B2722E3E-8109-4A09-8F93-048E4E9451D2}"/>
    <hyperlink ref="A14" location="$A$14" display="$A$14" xr:uid="{FDDE1753-57AA-4506-A7B7-5A614196E04F}"/>
    <hyperlink ref="A15" location="$A$15" display="$A$15" xr:uid="{7717A9D7-105C-4452-8041-999791D31EBF}"/>
    <hyperlink ref="A16" location="$A$16" display="$A$16" xr:uid="{0DAD4DE5-D13E-43DF-90A4-EA6F2E880896}"/>
    <hyperlink ref="A17" location="$A$17" display="$A$17" xr:uid="{B5A4CD1F-0AF5-41B1-8769-BFE93DFDA30B}"/>
    <hyperlink ref="A18" location="$A$18" display="$A$18" xr:uid="{B48A5E27-14B1-4090-A752-E80CABA91B8C}"/>
    <hyperlink ref="A19" location="$A$19" display="$A$19" xr:uid="{68C91E8C-7F52-4117-BBFE-837244C90F13}"/>
    <hyperlink ref="A20" location="$A$20" display="$A$20" xr:uid="{989A06BC-3ADF-4BA3-B2B9-8DA53FE33984}"/>
    <hyperlink ref="A21" location="$A$21" display="$A$21" xr:uid="{A3680537-F902-478B-BE67-ED991CE747D0}"/>
    <hyperlink ref="A22" location="$A$22" display="$A$22" xr:uid="{C55DFF96-43DB-465E-B3A0-DF36A3D2BD1F}"/>
    <hyperlink ref="A23" location="$A$23" display="$A$23" xr:uid="{5E18582B-63B5-49E0-B88E-A9A0446861E5}"/>
    <hyperlink ref="A24" location="$A$24" display="$A$24" xr:uid="{254F5A22-2E27-47B6-BC31-76D77493DC06}"/>
    <hyperlink ref="A25" location="$A$25" display="$A$25" xr:uid="{51B19799-5CD2-4E1D-9CA6-B7AE6A0E834B}"/>
    <hyperlink ref="A26" location="$A$26" display="$A$26" xr:uid="{9F537289-24F1-44B2-B81B-8CA90F4DE5B4}"/>
    <hyperlink ref="A27" location="$A$27" display="$A$27" xr:uid="{532E7438-FE87-4AF0-94F6-E52AF0B876DE}"/>
    <hyperlink ref="A28" location="$A$28" display="$A$28" xr:uid="{6558CAC6-D455-466A-8D2C-5C31CBE35D8F}"/>
    <hyperlink ref="A29" location="$A$29" display="$A$29" xr:uid="{99501F16-0AE2-4149-B3A2-3714976394E2}"/>
    <hyperlink ref="A30" location="$A$30" display="$A$30" xr:uid="{04A22195-554C-475F-97AD-846393A62AC8}"/>
    <hyperlink ref="A31" location="$A$31" display="$A$31" xr:uid="{2A38F455-27C8-4F50-9312-E13F7C067C03}"/>
    <hyperlink ref="A32" location="$A$32" display="$A$32" xr:uid="{1016E791-BE40-44DC-AC86-3CC721BE4E66}"/>
    <hyperlink ref="A33" location="$A$33" display="$A$33" xr:uid="{F948811B-E5D3-47B7-A9B4-1AC33FF3D471}"/>
    <hyperlink ref="A34" location="$A$34" display="$A$34" xr:uid="{CEA9096B-95C3-4D6F-98FF-0EBDCBC4BF80}"/>
    <hyperlink ref="A35" location="$A$35" display="$A$35" xr:uid="{569DA9EC-7C54-4905-83B3-890FE6755494}"/>
    <hyperlink ref="A36" location="$A$36" display="$A$36" xr:uid="{CCA43451-42C8-40BD-9898-43E500513A84}"/>
    <hyperlink ref="A37" location="$A$37" display="$A$37" xr:uid="{33E60634-74F6-4360-AF48-04FF25FCDDA8}"/>
    <hyperlink ref="A38" location="$A$38" display="$A$38" xr:uid="{2786427E-7A96-48CA-92E0-9145CC80B3FB}"/>
    <hyperlink ref="A39" location="$A$39" display="$A$39" xr:uid="{71F93318-6ED3-4080-A2F5-1B98A230FB53}"/>
    <hyperlink ref="A40" location="$A$40" display="$A$40" xr:uid="{3F0A6555-1532-42CB-9605-071B59E1E793}"/>
    <hyperlink ref="A41" location="$A$41" display="$A$41" xr:uid="{DB4F090E-46D9-44E2-A5CD-D9E81FD5DFDF}"/>
    <hyperlink ref="A42" location="$A$42" display="$A$42" xr:uid="{6CC5C41D-AF99-4FAF-9A47-53A640ED8F59}"/>
    <hyperlink ref="A43" location="$A$43" display="$A$43" xr:uid="{057546E9-6E0C-469A-9013-F6361ECCCC1E}"/>
    <hyperlink ref="A44" location="$A$44" display="$A$44" xr:uid="{A1A74D4E-FE7B-436B-BB97-3549AF38777A}"/>
    <hyperlink ref="A45" location="$A$45" display="$A$45" xr:uid="{B4830F67-E2AD-4659-A9EB-55C1E9CF661F}"/>
    <hyperlink ref="A46" location="$A$46" display="$A$46" xr:uid="{3BD1A8CF-5DA9-4B60-8C04-3ECCF14CD512}"/>
    <hyperlink ref="A47" location="$A$47" display="$A$47" xr:uid="{A4C91D5A-1D62-48C8-ADD8-520C08EB06A6}"/>
    <hyperlink ref="A48" location="$A$48" display="$A$48" xr:uid="{C10FC803-23A7-4FF5-ADE5-FC4A7F06315B}"/>
    <hyperlink ref="A49" location="$A$49" display="$A$49" xr:uid="{642DD57F-E01A-4B38-BB6C-26ADAA247C15}"/>
    <hyperlink ref="A50" location="$A$50" display="$A$50" xr:uid="{29C45346-FD84-462C-BB82-6150C718EA0C}"/>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2D892-2875-4A83-AF0E-D19F7FE18E75}">
  <sheetPr codeName="Feuil5"/>
  <dimension ref="A1:P1000"/>
  <sheetViews>
    <sheetView zoomScaleNormal="100" workbookViewId="0">
      <selection activeCell="K32" sqref="K32"/>
    </sheetView>
  </sheetViews>
  <sheetFormatPr baseColWidth="10" defaultRowHeight="14.4" x14ac:dyDescent="0.3"/>
  <cols>
    <col min="1" max="1" width="19.6640625" customWidth="1"/>
    <col min="2" max="2" width="24.33203125" bestFit="1" customWidth="1"/>
    <col min="3" max="3" width="17.33203125" bestFit="1" customWidth="1"/>
    <col min="4" max="4" width="21" style="18" bestFit="1" customWidth="1"/>
    <col min="5" max="5" width="20" bestFit="1" customWidth="1"/>
    <col min="6" max="6" width="24.33203125" bestFit="1" customWidth="1"/>
    <col min="7" max="7" width="21.33203125" bestFit="1" customWidth="1"/>
    <col min="8" max="8" width="11.33203125" style="18"/>
    <col min="9" max="9" width="14.6640625" customWidth="1"/>
    <col min="10" max="10" width="24.33203125" bestFit="1" customWidth="1"/>
    <col min="11" max="11" width="17.33203125" bestFit="1" customWidth="1"/>
    <col min="12" max="12" width="11.33203125" style="18"/>
  </cols>
  <sheetData>
    <row r="1" spans="1:16" x14ac:dyDescent="0.3">
      <c r="A1" s="1"/>
      <c r="B1" s="2"/>
      <c r="C1" s="2"/>
      <c r="D1" s="2"/>
      <c r="E1" s="2"/>
      <c r="F1" s="2"/>
      <c r="G1" s="2"/>
      <c r="H1" s="2"/>
      <c r="I1" s="2"/>
      <c r="J1" s="2"/>
      <c r="K1" s="2"/>
      <c r="L1" s="3"/>
    </row>
    <row r="2" spans="1:16" x14ac:dyDescent="0.3">
      <c r="A2" s="4"/>
      <c r="B2" s="5"/>
      <c r="C2" s="5"/>
      <c r="D2" s="5"/>
      <c r="E2" s="5"/>
      <c r="F2" s="5"/>
      <c r="G2" s="5"/>
      <c r="H2" s="5"/>
      <c r="I2" s="5"/>
      <c r="J2" s="5"/>
      <c r="K2" s="5"/>
      <c r="L2" s="6"/>
    </row>
    <row r="3" spans="1:16" ht="27.6" customHeight="1" x14ac:dyDescent="0.7">
      <c r="A3" s="4"/>
      <c r="B3" s="5"/>
      <c r="C3" s="5"/>
      <c r="D3" s="7" t="s">
        <v>0</v>
      </c>
      <c r="E3" s="8">
        <f ca="1">TODAY()</f>
        <v>45771</v>
      </c>
      <c r="F3" s="5"/>
      <c r="G3" s="129" t="s">
        <v>153</v>
      </c>
      <c r="H3" s="129"/>
      <c r="I3" s="129"/>
      <c r="J3" s="129"/>
      <c r="K3" s="129"/>
      <c r="L3" s="6"/>
    </row>
    <row r="4" spans="1:16" x14ac:dyDescent="0.3">
      <c r="A4" s="4"/>
      <c r="B4" s="5"/>
      <c r="C4" s="5"/>
      <c r="D4" s="5"/>
      <c r="E4" s="5"/>
      <c r="F4" s="5"/>
      <c r="G4" s="5"/>
      <c r="H4" s="5"/>
      <c r="I4" s="5"/>
      <c r="J4" s="5"/>
      <c r="K4" s="5"/>
      <c r="L4" s="6"/>
    </row>
    <row r="5" spans="1:16" x14ac:dyDescent="0.3">
      <c r="A5" s="4"/>
      <c r="B5" s="5"/>
      <c r="C5" s="5"/>
      <c r="D5" s="5"/>
      <c r="E5" s="5"/>
      <c r="F5" s="5"/>
      <c r="G5" s="5"/>
      <c r="H5" s="5"/>
      <c r="I5" s="5"/>
      <c r="J5" s="5"/>
      <c r="K5" s="5"/>
      <c r="L5" s="6"/>
    </row>
    <row r="6" spans="1:16" x14ac:dyDescent="0.3">
      <c r="A6" s="4"/>
      <c r="B6" s="5"/>
      <c r="C6" s="5"/>
      <c r="D6" s="5"/>
      <c r="E6" s="5"/>
      <c r="F6" s="5"/>
      <c r="G6" s="5"/>
      <c r="H6" s="132"/>
      <c r="I6" s="132"/>
      <c r="J6" s="5"/>
      <c r="K6" s="132"/>
      <c r="L6" s="133"/>
    </row>
    <row r="7" spans="1:16" x14ac:dyDescent="0.3">
      <c r="A7" s="134" t="s">
        <v>26</v>
      </c>
      <c r="B7" s="135"/>
      <c r="C7" s="135"/>
      <c r="D7" s="136"/>
      <c r="E7" s="134" t="s">
        <v>27</v>
      </c>
      <c r="F7" s="135"/>
      <c r="G7" s="135"/>
      <c r="H7" s="136"/>
      <c r="I7" s="134" t="s">
        <v>28</v>
      </c>
      <c r="J7" s="135"/>
      <c r="K7" s="135"/>
      <c r="L7" s="137"/>
      <c r="M7" s="10"/>
      <c r="N7" s="10"/>
      <c r="O7" s="10"/>
      <c r="P7" s="10"/>
    </row>
    <row r="8" spans="1:16" ht="15" thickBot="1" x14ac:dyDescent="0.35">
      <c r="A8" s="104" t="s">
        <v>24</v>
      </c>
      <c r="B8" s="104" t="s">
        <v>18</v>
      </c>
      <c r="C8" s="104" t="s">
        <v>2</v>
      </c>
      <c r="D8" s="104" t="s">
        <v>25</v>
      </c>
      <c r="E8" s="104" t="s">
        <v>24</v>
      </c>
      <c r="F8" s="104" t="s">
        <v>18</v>
      </c>
      <c r="G8" s="104" t="s">
        <v>2</v>
      </c>
      <c r="H8" s="104" t="s">
        <v>25</v>
      </c>
      <c r="I8" s="104" t="s">
        <v>24</v>
      </c>
      <c r="J8" s="104" t="s">
        <v>18</v>
      </c>
      <c r="K8" s="104" t="s">
        <v>2</v>
      </c>
      <c r="L8" s="104" t="s">
        <v>25</v>
      </c>
    </row>
    <row r="9" spans="1:16" x14ac:dyDescent="0.3">
      <c r="A9">
        <v>1</v>
      </c>
      <c r="B9" t="s">
        <v>154</v>
      </c>
      <c r="C9" t="s">
        <v>69</v>
      </c>
      <c r="D9">
        <v>175</v>
      </c>
      <c r="E9">
        <v>1</v>
      </c>
      <c r="F9" t="s">
        <v>155</v>
      </c>
      <c r="G9" t="s">
        <v>46</v>
      </c>
      <c r="H9">
        <v>221</v>
      </c>
      <c r="I9">
        <v>1</v>
      </c>
      <c r="J9" t="s">
        <v>29</v>
      </c>
      <c r="K9" t="s">
        <v>37</v>
      </c>
      <c r="L9">
        <v>202</v>
      </c>
    </row>
    <row r="10" spans="1:16" x14ac:dyDescent="0.3">
      <c r="A10">
        <v>2</v>
      </c>
      <c r="B10" t="s">
        <v>89</v>
      </c>
      <c r="C10" t="s">
        <v>90</v>
      </c>
      <c r="D10">
        <v>163.25</v>
      </c>
      <c r="E10">
        <v>2</v>
      </c>
      <c r="F10" t="s">
        <v>48</v>
      </c>
      <c r="G10" t="s">
        <v>43</v>
      </c>
      <c r="H10">
        <v>219.25</v>
      </c>
      <c r="I10">
        <v>2</v>
      </c>
      <c r="J10" t="s">
        <v>156</v>
      </c>
      <c r="K10" t="s">
        <v>39</v>
      </c>
      <c r="L10">
        <v>199</v>
      </c>
    </row>
    <row r="11" spans="1:16" x14ac:dyDescent="0.3">
      <c r="A11">
        <v>3</v>
      </c>
      <c r="B11" t="s">
        <v>107</v>
      </c>
      <c r="C11" t="s">
        <v>108</v>
      </c>
      <c r="D11">
        <v>116</v>
      </c>
      <c r="E11">
        <v>3</v>
      </c>
      <c r="F11" t="s">
        <v>50</v>
      </c>
      <c r="G11" t="s">
        <v>51</v>
      </c>
      <c r="H11">
        <v>209.75</v>
      </c>
      <c r="I11">
        <v>3</v>
      </c>
      <c r="J11" t="s">
        <v>30</v>
      </c>
      <c r="K11" t="s">
        <v>40</v>
      </c>
      <c r="L11">
        <v>193</v>
      </c>
    </row>
    <row r="12" spans="1:16" x14ac:dyDescent="0.3">
      <c r="A12">
        <v>4</v>
      </c>
      <c r="B12" t="s">
        <v>120</v>
      </c>
      <c r="C12" t="s">
        <v>121</v>
      </c>
      <c r="D12">
        <v>97</v>
      </c>
      <c r="E12">
        <v>4</v>
      </c>
      <c r="F12" t="s">
        <v>53</v>
      </c>
      <c r="G12" t="s">
        <v>54</v>
      </c>
      <c r="H12">
        <v>208.5</v>
      </c>
      <c r="I12">
        <v>4</v>
      </c>
      <c r="J12" t="s">
        <v>31</v>
      </c>
      <c r="K12" t="s">
        <v>41</v>
      </c>
      <c r="L12">
        <v>168</v>
      </c>
    </row>
    <row r="13" spans="1:16" x14ac:dyDescent="0.3">
      <c r="D13"/>
      <c r="E13">
        <v>5</v>
      </c>
      <c r="F13" t="s">
        <v>56</v>
      </c>
      <c r="G13" t="s">
        <v>57</v>
      </c>
      <c r="H13">
        <v>203.25</v>
      </c>
      <c r="I13">
        <v>5</v>
      </c>
      <c r="J13" t="s">
        <v>32</v>
      </c>
      <c r="K13" t="s">
        <v>42</v>
      </c>
      <c r="L13">
        <v>161</v>
      </c>
    </row>
    <row r="14" spans="1:16" x14ac:dyDescent="0.3">
      <c r="D14"/>
      <c r="E14">
        <v>6</v>
      </c>
      <c r="F14" t="s">
        <v>59</v>
      </c>
      <c r="G14" t="s">
        <v>60</v>
      </c>
      <c r="H14">
        <v>198</v>
      </c>
      <c r="I14">
        <v>6</v>
      </c>
      <c r="J14" t="s">
        <v>33</v>
      </c>
      <c r="K14" t="s">
        <v>43</v>
      </c>
      <c r="L14">
        <v>159</v>
      </c>
    </row>
    <row r="15" spans="1:16" x14ac:dyDescent="0.3">
      <c r="D15"/>
      <c r="E15">
        <v>7</v>
      </c>
      <c r="F15" t="s">
        <v>61</v>
      </c>
      <c r="G15" t="s">
        <v>62</v>
      </c>
      <c r="H15">
        <v>197</v>
      </c>
      <c r="I15">
        <v>7</v>
      </c>
      <c r="J15" t="s">
        <v>34</v>
      </c>
      <c r="K15" t="s">
        <v>43</v>
      </c>
      <c r="L15">
        <v>149</v>
      </c>
    </row>
    <row r="16" spans="1:16" x14ac:dyDescent="0.3">
      <c r="D16"/>
      <c r="E16">
        <v>8</v>
      </c>
      <c r="F16" t="s">
        <v>64</v>
      </c>
      <c r="G16" t="s">
        <v>65</v>
      </c>
      <c r="H16">
        <v>195</v>
      </c>
      <c r="I16">
        <v>8</v>
      </c>
      <c r="J16" t="s">
        <v>35</v>
      </c>
      <c r="K16" t="s">
        <v>44</v>
      </c>
      <c r="L16">
        <v>137</v>
      </c>
    </row>
    <row r="17" spans="4:12" x14ac:dyDescent="0.3">
      <c r="D17"/>
      <c r="E17">
        <v>9</v>
      </c>
      <c r="F17" t="s">
        <v>67</v>
      </c>
      <c r="G17" t="s">
        <v>65</v>
      </c>
      <c r="H17">
        <v>192</v>
      </c>
      <c r="I17">
        <v>9</v>
      </c>
      <c r="J17" t="s">
        <v>36</v>
      </c>
      <c r="K17" t="s">
        <v>45</v>
      </c>
      <c r="L17">
        <v>118</v>
      </c>
    </row>
    <row r="18" spans="4:12" x14ac:dyDescent="0.3">
      <c r="D18"/>
      <c r="E18">
        <v>10</v>
      </c>
      <c r="F18" t="s">
        <v>157</v>
      </c>
      <c r="G18" t="s">
        <v>43</v>
      </c>
      <c r="H18">
        <v>189.75</v>
      </c>
      <c r="L18"/>
    </row>
    <row r="19" spans="4:12" x14ac:dyDescent="0.3">
      <c r="D19"/>
      <c r="E19">
        <v>11</v>
      </c>
      <c r="F19" t="s">
        <v>72</v>
      </c>
      <c r="G19" t="s">
        <v>73</v>
      </c>
      <c r="H19">
        <v>189</v>
      </c>
      <c r="L19"/>
    </row>
    <row r="20" spans="4:12" x14ac:dyDescent="0.3">
      <c r="D20"/>
      <c r="E20">
        <v>12</v>
      </c>
      <c r="F20" t="s">
        <v>158</v>
      </c>
      <c r="G20" t="s">
        <v>75</v>
      </c>
      <c r="H20">
        <v>189</v>
      </c>
      <c r="L20"/>
    </row>
    <row r="21" spans="4:12" x14ac:dyDescent="0.3">
      <c r="D21"/>
      <c r="E21">
        <v>13</v>
      </c>
      <c r="F21" t="s">
        <v>77</v>
      </c>
      <c r="G21" t="s">
        <v>78</v>
      </c>
      <c r="H21">
        <v>185</v>
      </c>
      <c r="L21"/>
    </row>
    <row r="22" spans="4:12" x14ac:dyDescent="0.3">
      <c r="D22"/>
      <c r="E22">
        <v>14</v>
      </c>
      <c r="F22" t="s">
        <v>80</v>
      </c>
      <c r="G22" t="s">
        <v>75</v>
      </c>
      <c r="H22">
        <v>181.5</v>
      </c>
      <c r="L22"/>
    </row>
    <row r="23" spans="4:12" x14ac:dyDescent="0.3">
      <c r="D23"/>
      <c r="E23">
        <v>15</v>
      </c>
      <c r="F23" t="s">
        <v>82</v>
      </c>
      <c r="G23" t="s">
        <v>69</v>
      </c>
      <c r="H23">
        <v>177</v>
      </c>
      <c r="L23"/>
    </row>
    <row r="24" spans="4:12" x14ac:dyDescent="0.3">
      <c r="D24"/>
      <c r="E24">
        <v>16</v>
      </c>
      <c r="F24" t="s">
        <v>84</v>
      </c>
      <c r="G24" t="s">
        <v>85</v>
      </c>
      <c r="H24">
        <v>176.75</v>
      </c>
      <c r="L24"/>
    </row>
    <row r="25" spans="4:12" x14ac:dyDescent="0.3">
      <c r="D25"/>
      <c r="E25">
        <v>17</v>
      </c>
      <c r="F25" t="s">
        <v>87</v>
      </c>
      <c r="G25" t="s">
        <v>60</v>
      </c>
      <c r="H25">
        <v>176.5</v>
      </c>
      <c r="L25"/>
    </row>
    <row r="26" spans="4:12" x14ac:dyDescent="0.3">
      <c r="D26"/>
      <c r="E26">
        <v>18</v>
      </c>
      <c r="F26" t="s">
        <v>159</v>
      </c>
      <c r="G26" t="s">
        <v>88</v>
      </c>
      <c r="H26">
        <v>176</v>
      </c>
      <c r="L26"/>
    </row>
    <row r="27" spans="4:12" x14ac:dyDescent="0.3">
      <c r="D27"/>
      <c r="E27">
        <v>19</v>
      </c>
      <c r="F27" t="s">
        <v>92</v>
      </c>
      <c r="G27" t="s">
        <v>93</v>
      </c>
      <c r="H27">
        <v>174.75</v>
      </c>
      <c r="L27"/>
    </row>
    <row r="28" spans="4:12" x14ac:dyDescent="0.3">
      <c r="D28"/>
      <c r="E28">
        <v>20</v>
      </c>
      <c r="F28" t="s">
        <v>95</v>
      </c>
      <c r="G28" t="s">
        <v>96</v>
      </c>
      <c r="H28">
        <v>173</v>
      </c>
      <c r="L28"/>
    </row>
    <row r="29" spans="4:12" x14ac:dyDescent="0.3">
      <c r="D29"/>
      <c r="E29">
        <v>21</v>
      </c>
      <c r="F29" t="s">
        <v>98</v>
      </c>
      <c r="G29" t="s">
        <v>99</v>
      </c>
      <c r="H29">
        <v>171.75</v>
      </c>
      <c r="L29"/>
    </row>
    <row r="30" spans="4:12" x14ac:dyDescent="0.3">
      <c r="D30"/>
      <c r="E30">
        <v>22</v>
      </c>
      <c r="F30" t="s">
        <v>101</v>
      </c>
      <c r="G30" t="s">
        <v>102</v>
      </c>
      <c r="H30">
        <v>169.25</v>
      </c>
      <c r="L30"/>
    </row>
    <row r="31" spans="4:12" x14ac:dyDescent="0.3">
      <c r="D31"/>
      <c r="E31">
        <v>23</v>
      </c>
      <c r="F31" t="s">
        <v>104</v>
      </c>
      <c r="G31" t="s">
        <v>105</v>
      </c>
      <c r="H31">
        <v>166</v>
      </c>
      <c r="L31"/>
    </row>
    <row r="32" spans="4:12" x14ac:dyDescent="0.3">
      <c r="D32"/>
      <c r="E32">
        <v>24</v>
      </c>
      <c r="F32" t="s">
        <v>110</v>
      </c>
      <c r="G32" t="s">
        <v>111</v>
      </c>
      <c r="H32">
        <v>165</v>
      </c>
      <c r="L32"/>
    </row>
    <row r="33" spans="4:12" x14ac:dyDescent="0.3">
      <c r="D33"/>
      <c r="E33">
        <v>25</v>
      </c>
      <c r="F33" t="s">
        <v>113</v>
      </c>
      <c r="G33" t="s">
        <v>114</v>
      </c>
      <c r="H33">
        <v>156</v>
      </c>
      <c r="L33"/>
    </row>
    <row r="34" spans="4:12" x14ac:dyDescent="0.3">
      <c r="D34"/>
      <c r="E34">
        <v>26</v>
      </c>
      <c r="F34" t="s">
        <v>116</v>
      </c>
      <c r="G34" t="s">
        <v>45</v>
      </c>
      <c r="H34">
        <v>154.25</v>
      </c>
      <c r="L34"/>
    </row>
    <row r="35" spans="4:12" x14ac:dyDescent="0.3">
      <c r="D35"/>
      <c r="E35">
        <v>27</v>
      </c>
      <c r="F35" t="s">
        <v>118</v>
      </c>
      <c r="G35" t="s">
        <v>119</v>
      </c>
      <c r="H35">
        <v>151</v>
      </c>
      <c r="L35"/>
    </row>
    <row r="36" spans="4:12" x14ac:dyDescent="0.3">
      <c r="D36"/>
      <c r="E36">
        <v>28</v>
      </c>
      <c r="F36" t="s">
        <v>122</v>
      </c>
      <c r="G36" t="s">
        <v>123</v>
      </c>
      <c r="H36">
        <v>146</v>
      </c>
      <c r="L36"/>
    </row>
    <row r="37" spans="4:12" x14ac:dyDescent="0.3">
      <c r="D37"/>
      <c r="E37">
        <v>29</v>
      </c>
      <c r="F37" t="s">
        <v>124</v>
      </c>
      <c r="G37" t="s">
        <v>125</v>
      </c>
      <c r="H37">
        <v>144.25</v>
      </c>
      <c r="L37"/>
    </row>
    <row r="38" spans="4:12" x14ac:dyDescent="0.3">
      <c r="D38"/>
      <c r="E38">
        <v>30</v>
      </c>
      <c r="F38" t="s">
        <v>126</v>
      </c>
      <c r="G38" t="s">
        <v>57</v>
      </c>
      <c r="H38">
        <v>141.5</v>
      </c>
      <c r="L38"/>
    </row>
    <row r="39" spans="4:12" x14ac:dyDescent="0.3">
      <c r="D39"/>
      <c r="E39">
        <v>31</v>
      </c>
      <c r="F39" t="s">
        <v>127</v>
      </c>
      <c r="G39" t="s">
        <v>128</v>
      </c>
      <c r="H39">
        <v>139</v>
      </c>
      <c r="L39"/>
    </row>
    <row r="40" spans="4:12" x14ac:dyDescent="0.3">
      <c r="D40"/>
      <c r="E40">
        <v>32</v>
      </c>
      <c r="F40" t="s">
        <v>129</v>
      </c>
      <c r="G40" t="s">
        <v>130</v>
      </c>
      <c r="H40">
        <v>138</v>
      </c>
      <c r="L40"/>
    </row>
    <row r="41" spans="4:12" x14ac:dyDescent="0.3">
      <c r="D41"/>
      <c r="E41">
        <v>33</v>
      </c>
      <c r="F41" t="s">
        <v>132</v>
      </c>
      <c r="G41" t="s">
        <v>133</v>
      </c>
      <c r="H41">
        <v>137.5</v>
      </c>
      <c r="L41"/>
    </row>
    <row r="42" spans="4:12" x14ac:dyDescent="0.3">
      <c r="D42"/>
      <c r="E42">
        <v>34</v>
      </c>
      <c r="F42" t="s">
        <v>134</v>
      </c>
      <c r="G42" t="s">
        <v>123</v>
      </c>
      <c r="H42">
        <v>134.25</v>
      </c>
      <c r="L42"/>
    </row>
    <row r="43" spans="4:12" x14ac:dyDescent="0.3">
      <c r="D43"/>
      <c r="E43">
        <v>35</v>
      </c>
      <c r="F43" t="s">
        <v>135</v>
      </c>
      <c r="G43" t="s">
        <v>85</v>
      </c>
      <c r="H43">
        <v>134</v>
      </c>
      <c r="L43"/>
    </row>
    <row r="44" spans="4:12" x14ac:dyDescent="0.3">
      <c r="D44"/>
      <c r="E44">
        <v>36</v>
      </c>
      <c r="F44" t="s">
        <v>137</v>
      </c>
      <c r="G44" t="s">
        <v>43</v>
      </c>
      <c r="H44">
        <v>133.75</v>
      </c>
      <c r="L44"/>
    </row>
    <row r="45" spans="4:12" x14ac:dyDescent="0.3">
      <c r="D45"/>
      <c r="E45">
        <v>37</v>
      </c>
      <c r="F45" t="s">
        <v>138</v>
      </c>
      <c r="G45" t="s">
        <v>43</v>
      </c>
      <c r="H45">
        <v>123</v>
      </c>
      <c r="L45"/>
    </row>
    <row r="46" spans="4:12" x14ac:dyDescent="0.3">
      <c r="D46"/>
      <c r="E46">
        <v>38</v>
      </c>
      <c r="F46" t="s">
        <v>140</v>
      </c>
      <c r="G46" t="s">
        <v>141</v>
      </c>
      <c r="H46">
        <v>122.75</v>
      </c>
      <c r="L46"/>
    </row>
    <row r="47" spans="4:12" x14ac:dyDescent="0.3">
      <c r="D47"/>
      <c r="E47">
        <v>39</v>
      </c>
      <c r="F47" t="s">
        <v>142</v>
      </c>
      <c r="G47" t="s">
        <v>143</v>
      </c>
      <c r="H47">
        <v>118.5</v>
      </c>
      <c r="L47"/>
    </row>
    <row r="48" spans="4:12" x14ac:dyDescent="0.3">
      <c r="D48"/>
      <c r="E48">
        <v>40</v>
      </c>
      <c r="F48" t="s">
        <v>144</v>
      </c>
      <c r="G48" t="s">
        <v>88</v>
      </c>
      <c r="H48">
        <v>110.5</v>
      </c>
      <c r="L48"/>
    </row>
    <row r="49" spans="4:12" x14ac:dyDescent="0.3">
      <c r="D49"/>
      <c r="E49">
        <v>41</v>
      </c>
      <c r="F49" t="s">
        <v>146</v>
      </c>
      <c r="G49" t="s">
        <v>147</v>
      </c>
      <c r="H49">
        <v>101</v>
      </c>
      <c r="L49"/>
    </row>
    <row r="50" spans="4:12" x14ac:dyDescent="0.3">
      <c r="D50"/>
      <c r="E50">
        <v>42</v>
      </c>
      <c r="F50" t="s">
        <v>148</v>
      </c>
      <c r="G50" t="s">
        <v>45</v>
      </c>
      <c r="H50">
        <v>100.75</v>
      </c>
      <c r="L50"/>
    </row>
    <row r="51" spans="4:12" x14ac:dyDescent="0.3">
      <c r="D51"/>
      <c r="E51">
        <v>43</v>
      </c>
      <c r="F51" t="s">
        <v>150</v>
      </c>
      <c r="G51" t="s">
        <v>43</v>
      </c>
      <c r="H51">
        <v>100.5</v>
      </c>
      <c r="L51"/>
    </row>
    <row r="52" spans="4:12" customFormat="1" x14ac:dyDescent="0.3"/>
    <row r="53" spans="4:12" customFormat="1" x14ac:dyDescent="0.3"/>
    <row r="54" spans="4:12" customFormat="1" x14ac:dyDescent="0.3"/>
    <row r="55" spans="4:12" customFormat="1" x14ac:dyDescent="0.3"/>
    <row r="56" spans="4:12" customFormat="1" x14ac:dyDescent="0.3"/>
    <row r="57" spans="4:12" customFormat="1" x14ac:dyDescent="0.3"/>
    <row r="58" spans="4:12" customFormat="1" x14ac:dyDescent="0.3"/>
    <row r="59" spans="4:12" customFormat="1" x14ac:dyDescent="0.3"/>
    <row r="60" spans="4:12" customFormat="1" x14ac:dyDescent="0.3"/>
    <row r="61" spans="4:12" customFormat="1" x14ac:dyDescent="0.3"/>
    <row r="62" spans="4:12" customFormat="1" x14ac:dyDescent="0.3"/>
    <row r="63" spans="4:12" customFormat="1" x14ac:dyDescent="0.3"/>
    <row r="64" spans="4:12"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row r="288" customFormat="1" x14ac:dyDescent="0.3"/>
    <row r="289" customFormat="1" x14ac:dyDescent="0.3"/>
    <row r="290" customFormat="1" x14ac:dyDescent="0.3"/>
    <row r="291" customFormat="1" x14ac:dyDescent="0.3"/>
    <row r="292" customFormat="1" x14ac:dyDescent="0.3"/>
    <row r="293" customFormat="1" x14ac:dyDescent="0.3"/>
    <row r="294" customFormat="1" x14ac:dyDescent="0.3"/>
    <row r="295" customFormat="1" x14ac:dyDescent="0.3"/>
    <row r="296" customFormat="1" x14ac:dyDescent="0.3"/>
    <row r="297" customFormat="1" x14ac:dyDescent="0.3"/>
    <row r="298" customFormat="1" x14ac:dyDescent="0.3"/>
    <row r="299" customFormat="1" x14ac:dyDescent="0.3"/>
    <row r="300" customFormat="1" x14ac:dyDescent="0.3"/>
    <row r="301" customFormat="1" x14ac:dyDescent="0.3"/>
    <row r="302" customFormat="1" x14ac:dyDescent="0.3"/>
    <row r="303" customFormat="1" x14ac:dyDescent="0.3"/>
    <row r="304" customFormat="1" x14ac:dyDescent="0.3"/>
    <row r="305" customFormat="1" x14ac:dyDescent="0.3"/>
    <row r="306" customFormat="1" x14ac:dyDescent="0.3"/>
    <row r="307" customFormat="1" x14ac:dyDescent="0.3"/>
    <row r="308" customFormat="1" x14ac:dyDescent="0.3"/>
    <row r="309" customFormat="1" x14ac:dyDescent="0.3"/>
    <row r="310" customFormat="1" x14ac:dyDescent="0.3"/>
    <row r="311" customFormat="1" x14ac:dyDescent="0.3"/>
    <row r="312" customFormat="1" x14ac:dyDescent="0.3"/>
    <row r="313" customFormat="1" x14ac:dyDescent="0.3"/>
    <row r="314" customFormat="1" x14ac:dyDescent="0.3"/>
    <row r="315" customFormat="1" x14ac:dyDescent="0.3"/>
    <row r="316" customFormat="1" x14ac:dyDescent="0.3"/>
    <row r="317" customFormat="1" x14ac:dyDescent="0.3"/>
    <row r="318" customFormat="1" x14ac:dyDescent="0.3"/>
    <row r="319" customFormat="1" x14ac:dyDescent="0.3"/>
    <row r="320" customFormat="1" x14ac:dyDescent="0.3"/>
    <row r="321" customFormat="1" x14ac:dyDescent="0.3"/>
    <row r="322" customFormat="1" x14ac:dyDescent="0.3"/>
    <row r="323" customFormat="1" x14ac:dyDescent="0.3"/>
    <row r="324" customFormat="1" x14ac:dyDescent="0.3"/>
    <row r="325" customFormat="1" x14ac:dyDescent="0.3"/>
    <row r="326" customFormat="1" x14ac:dyDescent="0.3"/>
    <row r="327" customFormat="1" x14ac:dyDescent="0.3"/>
    <row r="328" customFormat="1" x14ac:dyDescent="0.3"/>
    <row r="329" customFormat="1" x14ac:dyDescent="0.3"/>
    <row r="330" customFormat="1" x14ac:dyDescent="0.3"/>
    <row r="331" customFormat="1" x14ac:dyDescent="0.3"/>
    <row r="332" customFormat="1" x14ac:dyDescent="0.3"/>
    <row r="333" customFormat="1" x14ac:dyDescent="0.3"/>
    <row r="334" customFormat="1" x14ac:dyDescent="0.3"/>
    <row r="335" customFormat="1" x14ac:dyDescent="0.3"/>
    <row r="336" customFormat="1" x14ac:dyDescent="0.3"/>
    <row r="337" customFormat="1" x14ac:dyDescent="0.3"/>
    <row r="338" customFormat="1" x14ac:dyDescent="0.3"/>
    <row r="339" customFormat="1" x14ac:dyDescent="0.3"/>
    <row r="340" customFormat="1" x14ac:dyDescent="0.3"/>
    <row r="341" customFormat="1" x14ac:dyDescent="0.3"/>
    <row r="342" customFormat="1" x14ac:dyDescent="0.3"/>
    <row r="343" customFormat="1" x14ac:dyDescent="0.3"/>
    <row r="344" customFormat="1" x14ac:dyDescent="0.3"/>
    <row r="345" customFormat="1" x14ac:dyDescent="0.3"/>
    <row r="346" customFormat="1" x14ac:dyDescent="0.3"/>
    <row r="347" customFormat="1" x14ac:dyDescent="0.3"/>
    <row r="348" customFormat="1" x14ac:dyDescent="0.3"/>
    <row r="349" customFormat="1" x14ac:dyDescent="0.3"/>
    <row r="350" customFormat="1" x14ac:dyDescent="0.3"/>
    <row r="351" customFormat="1" x14ac:dyDescent="0.3"/>
    <row r="352" customFormat="1" x14ac:dyDescent="0.3"/>
    <row r="353" customFormat="1" x14ac:dyDescent="0.3"/>
    <row r="354" customFormat="1" x14ac:dyDescent="0.3"/>
    <row r="355" customFormat="1" x14ac:dyDescent="0.3"/>
    <row r="356" customFormat="1" x14ac:dyDescent="0.3"/>
    <row r="357" customFormat="1" x14ac:dyDescent="0.3"/>
    <row r="358" customFormat="1" x14ac:dyDescent="0.3"/>
    <row r="359" customFormat="1" x14ac:dyDescent="0.3"/>
    <row r="360" customFormat="1" x14ac:dyDescent="0.3"/>
    <row r="361" customFormat="1" x14ac:dyDescent="0.3"/>
    <row r="362" customFormat="1" x14ac:dyDescent="0.3"/>
    <row r="363" customFormat="1" x14ac:dyDescent="0.3"/>
    <row r="364" customFormat="1" x14ac:dyDescent="0.3"/>
    <row r="365" customFormat="1" x14ac:dyDescent="0.3"/>
    <row r="366" customFormat="1" x14ac:dyDescent="0.3"/>
    <row r="367" customFormat="1" x14ac:dyDescent="0.3"/>
    <row r="368" customFormat="1" x14ac:dyDescent="0.3"/>
    <row r="369" customFormat="1" x14ac:dyDescent="0.3"/>
    <row r="370" customFormat="1" x14ac:dyDescent="0.3"/>
    <row r="371" customFormat="1" x14ac:dyDescent="0.3"/>
    <row r="372" customFormat="1" x14ac:dyDescent="0.3"/>
    <row r="373" customFormat="1" x14ac:dyDescent="0.3"/>
    <row r="374" customFormat="1" x14ac:dyDescent="0.3"/>
    <row r="375" customFormat="1" x14ac:dyDescent="0.3"/>
    <row r="376" customFormat="1" x14ac:dyDescent="0.3"/>
    <row r="377" customFormat="1" x14ac:dyDescent="0.3"/>
    <row r="378" customFormat="1" x14ac:dyDescent="0.3"/>
    <row r="379" customFormat="1" x14ac:dyDescent="0.3"/>
    <row r="380" customFormat="1" x14ac:dyDescent="0.3"/>
    <row r="381" customFormat="1" x14ac:dyDescent="0.3"/>
    <row r="382" customFormat="1" x14ac:dyDescent="0.3"/>
    <row r="383" customFormat="1" x14ac:dyDescent="0.3"/>
    <row r="384" customFormat="1" x14ac:dyDescent="0.3"/>
    <row r="385" customFormat="1" x14ac:dyDescent="0.3"/>
    <row r="386" customFormat="1" x14ac:dyDescent="0.3"/>
    <row r="387" customFormat="1" x14ac:dyDescent="0.3"/>
    <row r="388" customFormat="1" x14ac:dyDescent="0.3"/>
    <row r="389" customFormat="1" x14ac:dyDescent="0.3"/>
    <row r="390" customFormat="1" x14ac:dyDescent="0.3"/>
    <row r="391" customFormat="1" x14ac:dyDescent="0.3"/>
    <row r="392" customFormat="1" x14ac:dyDescent="0.3"/>
    <row r="393" customFormat="1" x14ac:dyDescent="0.3"/>
    <row r="394" customFormat="1" x14ac:dyDescent="0.3"/>
    <row r="395" customFormat="1" x14ac:dyDescent="0.3"/>
    <row r="396" customFormat="1" x14ac:dyDescent="0.3"/>
    <row r="397" customFormat="1" x14ac:dyDescent="0.3"/>
    <row r="398" customFormat="1" x14ac:dyDescent="0.3"/>
    <row r="399" customFormat="1" x14ac:dyDescent="0.3"/>
    <row r="400" customFormat="1" x14ac:dyDescent="0.3"/>
    <row r="401" customFormat="1" x14ac:dyDescent="0.3"/>
    <row r="402" customFormat="1" x14ac:dyDescent="0.3"/>
    <row r="403" customFormat="1" x14ac:dyDescent="0.3"/>
    <row r="404" customFormat="1" x14ac:dyDescent="0.3"/>
    <row r="405" customFormat="1" x14ac:dyDescent="0.3"/>
    <row r="406" customFormat="1" x14ac:dyDescent="0.3"/>
    <row r="407" customFormat="1" x14ac:dyDescent="0.3"/>
    <row r="408" customFormat="1" x14ac:dyDescent="0.3"/>
    <row r="409" customFormat="1" x14ac:dyDescent="0.3"/>
    <row r="410"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row r="462" customFormat="1" x14ac:dyDescent="0.3"/>
    <row r="463" customFormat="1" x14ac:dyDescent="0.3"/>
    <row r="464" customFormat="1" x14ac:dyDescent="0.3"/>
    <row r="465" customFormat="1" x14ac:dyDescent="0.3"/>
    <row r="466" customFormat="1" x14ac:dyDescent="0.3"/>
    <row r="467" customFormat="1" x14ac:dyDescent="0.3"/>
    <row r="468" customFormat="1" x14ac:dyDescent="0.3"/>
    <row r="469" customFormat="1" x14ac:dyDescent="0.3"/>
    <row r="470" customFormat="1" x14ac:dyDescent="0.3"/>
    <row r="471" customFormat="1" x14ac:dyDescent="0.3"/>
    <row r="472" customFormat="1" x14ac:dyDescent="0.3"/>
    <row r="473" customFormat="1" x14ac:dyDescent="0.3"/>
    <row r="474" customFormat="1" x14ac:dyDescent="0.3"/>
    <row r="475" customFormat="1" x14ac:dyDescent="0.3"/>
    <row r="476" customFormat="1" x14ac:dyDescent="0.3"/>
    <row r="477" customFormat="1" x14ac:dyDescent="0.3"/>
    <row r="478" customFormat="1" x14ac:dyDescent="0.3"/>
    <row r="479" customFormat="1" x14ac:dyDescent="0.3"/>
    <row r="480" customFormat="1" x14ac:dyDescent="0.3"/>
    <row r="481" customFormat="1" x14ac:dyDescent="0.3"/>
    <row r="482" customFormat="1" x14ac:dyDescent="0.3"/>
    <row r="483" customFormat="1" x14ac:dyDescent="0.3"/>
    <row r="484" customFormat="1" x14ac:dyDescent="0.3"/>
    <row r="485" customFormat="1" x14ac:dyDescent="0.3"/>
    <row r="486" customFormat="1" x14ac:dyDescent="0.3"/>
    <row r="487" customFormat="1" x14ac:dyDescent="0.3"/>
    <row r="488" customFormat="1" x14ac:dyDescent="0.3"/>
    <row r="489" customFormat="1" x14ac:dyDescent="0.3"/>
    <row r="490" customFormat="1" x14ac:dyDescent="0.3"/>
    <row r="491" customFormat="1" x14ac:dyDescent="0.3"/>
    <row r="492" customFormat="1" x14ac:dyDescent="0.3"/>
    <row r="493" customFormat="1" x14ac:dyDescent="0.3"/>
    <row r="494" customFormat="1" x14ac:dyDescent="0.3"/>
    <row r="495" customFormat="1" x14ac:dyDescent="0.3"/>
    <row r="496" customFormat="1" x14ac:dyDescent="0.3"/>
    <row r="497" customFormat="1" x14ac:dyDescent="0.3"/>
    <row r="498" customFormat="1" x14ac:dyDescent="0.3"/>
    <row r="499" customFormat="1" x14ac:dyDescent="0.3"/>
    <row r="500" customFormat="1" x14ac:dyDescent="0.3"/>
    <row r="501" customFormat="1" x14ac:dyDescent="0.3"/>
    <row r="502" customFormat="1" x14ac:dyDescent="0.3"/>
    <row r="503" customFormat="1" x14ac:dyDescent="0.3"/>
    <row r="504" customFormat="1" x14ac:dyDescent="0.3"/>
    <row r="505" customFormat="1" x14ac:dyDescent="0.3"/>
    <row r="506" customFormat="1" x14ac:dyDescent="0.3"/>
    <row r="507" customFormat="1" x14ac:dyDescent="0.3"/>
    <row r="508" customFormat="1" x14ac:dyDescent="0.3"/>
    <row r="509" customFormat="1" x14ac:dyDescent="0.3"/>
    <row r="510" customFormat="1" x14ac:dyDescent="0.3"/>
    <row r="511" customFormat="1" x14ac:dyDescent="0.3"/>
    <row r="512" customFormat="1" x14ac:dyDescent="0.3"/>
    <row r="513" customFormat="1" x14ac:dyDescent="0.3"/>
    <row r="514" customFormat="1" x14ac:dyDescent="0.3"/>
    <row r="515" customFormat="1" x14ac:dyDescent="0.3"/>
    <row r="516" customFormat="1" x14ac:dyDescent="0.3"/>
    <row r="517" customFormat="1" x14ac:dyDescent="0.3"/>
    <row r="518" customFormat="1" x14ac:dyDescent="0.3"/>
    <row r="519" customFormat="1" x14ac:dyDescent="0.3"/>
    <row r="520" customFormat="1" x14ac:dyDescent="0.3"/>
    <row r="521" customFormat="1" x14ac:dyDescent="0.3"/>
    <row r="522" customFormat="1" x14ac:dyDescent="0.3"/>
    <row r="523" customFormat="1" x14ac:dyDescent="0.3"/>
    <row r="524" customFormat="1" x14ac:dyDescent="0.3"/>
    <row r="525" customFormat="1" x14ac:dyDescent="0.3"/>
    <row r="526" customFormat="1" x14ac:dyDescent="0.3"/>
    <row r="527" customFormat="1" x14ac:dyDescent="0.3"/>
    <row r="528" customFormat="1" x14ac:dyDescent="0.3"/>
    <row r="529" customFormat="1" x14ac:dyDescent="0.3"/>
    <row r="530" customFormat="1" x14ac:dyDescent="0.3"/>
    <row r="531" customFormat="1" x14ac:dyDescent="0.3"/>
    <row r="532" customFormat="1" x14ac:dyDescent="0.3"/>
    <row r="533" customFormat="1" x14ac:dyDescent="0.3"/>
    <row r="534" customFormat="1" x14ac:dyDescent="0.3"/>
    <row r="535" customFormat="1" x14ac:dyDescent="0.3"/>
    <row r="536" customFormat="1" x14ac:dyDescent="0.3"/>
    <row r="537" customFormat="1" x14ac:dyDescent="0.3"/>
    <row r="538" customFormat="1" x14ac:dyDescent="0.3"/>
    <row r="539" customFormat="1" x14ac:dyDescent="0.3"/>
    <row r="540" customFormat="1" x14ac:dyDescent="0.3"/>
    <row r="541" customFormat="1" x14ac:dyDescent="0.3"/>
    <row r="542" customFormat="1" x14ac:dyDescent="0.3"/>
    <row r="543" customFormat="1" x14ac:dyDescent="0.3"/>
    <row r="544" customFormat="1" x14ac:dyDescent="0.3"/>
    <row r="545" customFormat="1" x14ac:dyDescent="0.3"/>
    <row r="546" customFormat="1" x14ac:dyDescent="0.3"/>
    <row r="547" customFormat="1" x14ac:dyDescent="0.3"/>
    <row r="548" customFormat="1" x14ac:dyDescent="0.3"/>
    <row r="549" customFormat="1" x14ac:dyDescent="0.3"/>
    <row r="550" customFormat="1" x14ac:dyDescent="0.3"/>
    <row r="551" customFormat="1" x14ac:dyDescent="0.3"/>
    <row r="552" customFormat="1" x14ac:dyDescent="0.3"/>
    <row r="553" customFormat="1" x14ac:dyDescent="0.3"/>
    <row r="554" customFormat="1" x14ac:dyDescent="0.3"/>
    <row r="555" customFormat="1" x14ac:dyDescent="0.3"/>
    <row r="556" customFormat="1" x14ac:dyDescent="0.3"/>
    <row r="557" customFormat="1" x14ac:dyDescent="0.3"/>
    <row r="558" customFormat="1" x14ac:dyDescent="0.3"/>
    <row r="559" customFormat="1" x14ac:dyDescent="0.3"/>
    <row r="560" customFormat="1" x14ac:dyDescent="0.3"/>
    <row r="561" customFormat="1" x14ac:dyDescent="0.3"/>
    <row r="562" customFormat="1" x14ac:dyDescent="0.3"/>
    <row r="563" customFormat="1" x14ac:dyDescent="0.3"/>
    <row r="564" customFormat="1" x14ac:dyDescent="0.3"/>
    <row r="565" customFormat="1" x14ac:dyDescent="0.3"/>
    <row r="566" customFormat="1" x14ac:dyDescent="0.3"/>
    <row r="567" customFormat="1" x14ac:dyDescent="0.3"/>
    <row r="568" customFormat="1" x14ac:dyDescent="0.3"/>
    <row r="569" customFormat="1" x14ac:dyDescent="0.3"/>
    <row r="570" customFormat="1" x14ac:dyDescent="0.3"/>
    <row r="571" customFormat="1" x14ac:dyDescent="0.3"/>
    <row r="572" customFormat="1" x14ac:dyDescent="0.3"/>
    <row r="573" customFormat="1" x14ac:dyDescent="0.3"/>
    <row r="574" customFormat="1" x14ac:dyDescent="0.3"/>
    <row r="575" customFormat="1" x14ac:dyDescent="0.3"/>
    <row r="576" customFormat="1" x14ac:dyDescent="0.3"/>
    <row r="577" customFormat="1" x14ac:dyDescent="0.3"/>
    <row r="578" customFormat="1" x14ac:dyDescent="0.3"/>
    <row r="579" customFormat="1" x14ac:dyDescent="0.3"/>
    <row r="580" customFormat="1" x14ac:dyDescent="0.3"/>
    <row r="581" customFormat="1" x14ac:dyDescent="0.3"/>
    <row r="582" customFormat="1" x14ac:dyDescent="0.3"/>
    <row r="583" customFormat="1" x14ac:dyDescent="0.3"/>
    <row r="584" customFormat="1" x14ac:dyDescent="0.3"/>
    <row r="585" customFormat="1" x14ac:dyDescent="0.3"/>
    <row r="586" customFormat="1" x14ac:dyDescent="0.3"/>
    <row r="587" customFormat="1" x14ac:dyDescent="0.3"/>
    <row r="588" customFormat="1" x14ac:dyDescent="0.3"/>
    <row r="589" customFormat="1" x14ac:dyDescent="0.3"/>
    <row r="590" customFormat="1" x14ac:dyDescent="0.3"/>
    <row r="591" customFormat="1" x14ac:dyDescent="0.3"/>
    <row r="592" customFormat="1" x14ac:dyDescent="0.3"/>
    <row r="593" customFormat="1" x14ac:dyDescent="0.3"/>
    <row r="594" customFormat="1" x14ac:dyDescent="0.3"/>
    <row r="595" customFormat="1" x14ac:dyDescent="0.3"/>
    <row r="596" customFormat="1" x14ac:dyDescent="0.3"/>
    <row r="597" customFormat="1" x14ac:dyDescent="0.3"/>
    <row r="598" customFormat="1" x14ac:dyDescent="0.3"/>
    <row r="599" customFormat="1" x14ac:dyDescent="0.3"/>
    <row r="600" customFormat="1" x14ac:dyDescent="0.3"/>
    <row r="601" customFormat="1" x14ac:dyDescent="0.3"/>
    <row r="602" customFormat="1" x14ac:dyDescent="0.3"/>
    <row r="603" customFormat="1" x14ac:dyDescent="0.3"/>
    <row r="604" customFormat="1" x14ac:dyDescent="0.3"/>
    <row r="605" customFormat="1" x14ac:dyDescent="0.3"/>
    <row r="606" customFormat="1" x14ac:dyDescent="0.3"/>
    <row r="607" customFormat="1" x14ac:dyDescent="0.3"/>
    <row r="608" customFormat="1" x14ac:dyDescent="0.3"/>
    <row r="609" customFormat="1" x14ac:dyDescent="0.3"/>
    <row r="610" customFormat="1" x14ac:dyDescent="0.3"/>
    <row r="611" customFormat="1" x14ac:dyDescent="0.3"/>
    <row r="612" customFormat="1" x14ac:dyDescent="0.3"/>
    <row r="613" customFormat="1" x14ac:dyDescent="0.3"/>
    <row r="614" customFormat="1" x14ac:dyDescent="0.3"/>
    <row r="615" customFormat="1" x14ac:dyDescent="0.3"/>
    <row r="616" customFormat="1" x14ac:dyDescent="0.3"/>
    <row r="617" customFormat="1" x14ac:dyDescent="0.3"/>
    <row r="618" customFormat="1" x14ac:dyDescent="0.3"/>
    <row r="619" customFormat="1" x14ac:dyDescent="0.3"/>
    <row r="620" customFormat="1" x14ac:dyDescent="0.3"/>
    <row r="621" customFormat="1" x14ac:dyDescent="0.3"/>
    <row r="622" customFormat="1" x14ac:dyDescent="0.3"/>
    <row r="623" customFormat="1" x14ac:dyDescent="0.3"/>
    <row r="624" customFormat="1" x14ac:dyDescent="0.3"/>
    <row r="625" customFormat="1" x14ac:dyDescent="0.3"/>
    <row r="626" customFormat="1" x14ac:dyDescent="0.3"/>
    <row r="627" customFormat="1" x14ac:dyDescent="0.3"/>
    <row r="628" customFormat="1" x14ac:dyDescent="0.3"/>
    <row r="629" customFormat="1" x14ac:dyDescent="0.3"/>
    <row r="630" customFormat="1" x14ac:dyDescent="0.3"/>
    <row r="631" customFormat="1" x14ac:dyDescent="0.3"/>
    <row r="632" customFormat="1" x14ac:dyDescent="0.3"/>
    <row r="633" customFormat="1" x14ac:dyDescent="0.3"/>
    <row r="634" customFormat="1" x14ac:dyDescent="0.3"/>
    <row r="635" customFormat="1" x14ac:dyDescent="0.3"/>
    <row r="636" customFormat="1" x14ac:dyDescent="0.3"/>
    <row r="637" customFormat="1" x14ac:dyDescent="0.3"/>
    <row r="638" customFormat="1" x14ac:dyDescent="0.3"/>
    <row r="639" customFormat="1" x14ac:dyDescent="0.3"/>
    <row r="640" customFormat="1" x14ac:dyDescent="0.3"/>
    <row r="641" customFormat="1" x14ac:dyDescent="0.3"/>
    <row r="642" customFormat="1" x14ac:dyDescent="0.3"/>
    <row r="643" customFormat="1" x14ac:dyDescent="0.3"/>
    <row r="644" customFormat="1" x14ac:dyDescent="0.3"/>
    <row r="645" customFormat="1" x14ac:dyDescent="0.3"/>
    <row r="646" customFormat="1" x14ac:dyDescent="0.3"/>
    <row r="647" customFormat="1" x14ac:dyDescent="0.3"/>
    <row r="648" customFormat="1" x14ac:dyDescent="0.3"/>
    <row r="649" customFormat="1" x14ac:dyDescent="0.3"/>
    <row r="650" customFormat="1" x14ac:dyDescent="0.3"/>
    <row r="651" customFormat="1" x14ac:dyDescent="0.3"/>
    <row r="652" customFormat="1" x14ac:dyDescent="0.3"/>
    <row r="653" customFormat="1" x14ac:dyDescent="0.3"/>
    <row r="654" customFormat="1" x14ac:dyDescent="0.3"/>
    <row r="655" customFormat="1" x14ac:dyDescent="0.3"/>
    <row r="656" customFormat="1" x14ac:dyDescent="0.3"/>
    <row r="657" customFormat="1" x14ac:dyDescent="0.3"/>
    <row r="658" customFormat="1" x14ac:dyDescent="0.3"/>
    <row r="659" customFormat="1" x14ac:dyDescent="0.3"/>
    <row r="660" customFormat="1" x14ac:dyDescent="0.3"/>
    <row r="661" customFormat="1" x14ac:dyDescent="0.3"/>
    <row r="662" customFormat="1" x14ac:dyDescent="0.3"/>
    <row r="663" customFormat="1" x14ac:dyDescent="0.3"/>
    <row r="664" customFormat="1" x14ac:dyDescent="0.3"/>
    <row r="665" customFormat="1" x14ac:dyDescent="0.3"/>
    <row r="666" customFormat="1" x14ac:dyDescent="0.3"/>
    <row r="667" customFormat="1" x14ac:dyDescent="0.3"/>
    <row r="668" customFormat="1" x14ac:dyDescent="0.3"/>
    <row r="669" customFormat="1" x14ac:dyDescent="0.3"/>
    <row r="670" customFormat="1" x14ac:dyDescent="0.3"/>
    <row r="671" customFormat="1" x14ac:dyDescent="0.3"/>
    <row r="672" customFormat="1" x14ac:dyDescent="0.3"/>
    <row r="673" customFormat="1" x14ac:dyDescent="0.3"/>
    <row r="674" customFormat="1" x14ac:dyDescent="0.3"/>
    <row r="675" customFormat="1" x14ac:dyDescent="0.3"/>
    <row r="676" customFormat="1" x14ac:dyDescent="0.3"/>
    <row r="677" customFormat="1" x14ac:dyDescent="0.3"/>
    <row r="678" customFormat="1" x14ac:dyDescent="0.3"/>
    <row r="679" customFormat="1" x14ac:dyDescent="0.3"/>
    <row r="680" customFormat="1" x14ac:dyDescent="0.3"/>
    <row r="681" customFormat="1" x14ac:dyDescent="0.3"/>
    <row r="682" customFormat="1" x14ac:dyDescent="0.3"/>
    <row r="683" customFormat="1" x14ac:dyDescent="0.3"/>
    <row r="684" customFormat="1" x14ac:dyDescent="0.3"/>
    <row r="685" customFormat="1" x14ac:dyDescent="0.3"/>
    <row r="686" customFormat="1" x14ac:dyDescent="0.3"/>
    <row r="687" customFormat="1" x14ac:dyDescent="0.3"/>
    <row r="688" customFormat="1" x14ac:dyDescent="0.3"/>
    <row r="689" customFormat="1" x14ac:dyDescent="0.3"/>
    <row r="690" customFormat="1" x14ac:dyDescent="0.3"/>
    <row r="691" customFormat="1" x14ac:dyDescent="0.3"/>
    <row r="692" customFormat="1" x14ac:dyDescent="0.3"/>
    <row r="693" customFormat="1" x14ac:dyDescent="0.3"/>
    <row r="694" customFormat="1" x14ac:dyDescent="0.3"/>
    <row r="695" customFormat="1" x14ac:dyDescent="0.3"/>
    <row r="696" customFormat="1" x14ac:dyDescent="0.3"/>
    <row r="697" customFormat="1" x14ac:dyDescent="0.3"/>
    <row r="698" customFormat="1" x14ac:dyDescent="0.3"/>
    <row r="699" customFormat="1" x14ac:dyDescent="0.3"/>
    <row r="700" customFormat="1" x14ac:dyDescent="0.3"/>
    <row r="701" customFormat="1" x14ac:dyDescent="0.3"/>
    <row r="702" customFormat="1" x14ac:dyDescent="0.3"/>
    <row r="703" customFormat="1" x14ac:dyDescent="0.3"/>
    <row r="704" customFormat="1" x14ac:dyDescent="0.3"/>
    <row r="705" customFormat="1" x14ac:dyDescent="0.3"/>
    <row r="706" customFormat="1" x14ac:dyDescent="0.3"/>
    <row r="707" customFormat="1" x14ac:dyDescent="0.3"/>
    <row r="708" customFormat="1" x14ac:dyDescent="0.3"/>
    <row r="709" customFormat="1" x14ac:dyDescent="0.3"/>
    <row r="710" customFormat="1" x14ac:dyDescent="0.3"/>
    <row r="711" customFormat="1" x14ac:dyDescent="0.3"/>
    <row r="712" customFormat="1" x14ac:dyDescent="0.3"/>
    <row r="713" customFormat="1" x14ac:dyDescent="0.3"/>
    <row r="714" customFormat="1" x14ac:dyDescent="0.3"/>
    <row r="715" customFormat="1" x14ac:dyDescent="0.3"/>
    <row r="716" customFormat="1" x14ac:dyDescent="0.3"/>
    <row r="717" customFormat="1" x14ac:dyDescent="0.3"/>
    <row r="718" customFormat="1" x14ac:dyDescent="0.3"/>
    <row r="719" customFormat="1" x14ac:dyDescent="0.3"/>
    <row r="720" customFormat="1" x14ac:dyDescent="0.3"/>
    <row r="721" customFormat="1" x14ac:dyDescent="0.3"/>
    <row r="722" customFormat="1" x14ac:dyDescent="0.3"/>
    <row r="723" customFormat="1" x14ac:dyDescent="0.3"/>
    <row r="724" customFormat="1" x14ac:dyDescent="0.3"/>
    <row r="725" customFormat="1" x14ac:dyDescent="0.3"/>
    <row r="726" customFormat="1" x14ac:dyDescent="0.3"/>
    <row r="727" customFormat="1" x14ac:dyDescent="0.3"/>
    <row r="728" customFormat="1" x14ac:dyDescent="0.3"/>
    <row r="729" customFormat="1" x14ac:dyDescent="0.3"/>
    <row r="730" customFormat="1" x14ac:dyDescent="0.3"/>
    <row r="731" customFormat="1" x14ac:dyDescent="0.3"/>
    <row r="732" customFormat="1" x14ac:dyDescent="0.3"/>
    <row r="733" customFormat="1" x14ac:dyDescent="0.3"/>
    <row r="734" customFormat="1" x14ac:dyDescent="0.3"/>
    <row r="735" customFormat="1" x14ac:dyDescent="0.3"/>
    <row r="736" customFormat="1" x14ac:dyDescent="0.3"/>
    <row r="737" customFormat="1" x14ac:dyDescent="0.3"/>
    <row r="738" customFormat="1" x14ac:dyDescent="0.3"/>
    <row r="739" customFormat="1" x14ac:dyDescent="0.3"/>
    <row r="740" customFormat="1" x14ac:dyDescent="0.3"/>
    <row r="741" customFormat="1" x14ac:dyDescent="0.3"/>
    <row r="742" customFormat="1" x14ac:dyDescent="0.3"/>
    <row r="743" customFormat="1" x14ac:dyDescent="0.3"/>
    <row r="744" customFormat="1" x14ac:dyDescent="0.3"/>
    <row r="745" customFormat="1" x14ac:dyDescent="0.3"/>
    <row r="746" customFormat="1" x14ac:dyDescent="0.3"/>
    <row r="747" customFormat="1" x14ac:dyDescent="0.3"/>
    <row r="748" customFormat="1" x14ac:dyDescent="0.3"/>
    <row r="749" customFormat="1" x14ac:dyDescent="0.3"/>
    <row r="750" customFormat="1" x14ac:dyDescent="0.3"/>
    <row r="751" customFormat="1" x14ac:dyDescent="0.3"/>
    <row r="752" customFormat="1" x14ac:dyDescent="0.3"/>
    <row r="753" customFormat="1" x14ac:dyDescent="0.3"/>
    <row r="754" customFormat="1" x14ac:dyDescent="0.3"/>
    <row r="755" customFormat="1" x14ac:dyDescent="0.3"/>
    <row r="756" customFormat="1" x14ac:dyDescent="0.3"/>
    <row r="757" customFormat="1" x14ac:dyDescent="0.3"/>
    <row r="758" customFormat="1" x14ac:dyDescent="0.3"/>
    <row r="759" customFormat="1" x14ac:dyDescent="0.3"/>
    <row r="760" customFormat="1" x14ac:dyDescent="0.3"/>
    <row r="761" customFormat="1" x14ac:dyDescent="0.3"/>
    <row r="762" customFormat="1" x14ac:dyDescent="0.3"/>
    <row r="763" customFormat="1" x14ac:dyDescent="0.3"/>
    <row r="764" customFormat="1" x14ac:dyDescent="0.3"/>
    <row r="765" customFormat="1" x14ac:dyDescent="0.3"/>
    <row r="766" customFormat="1" x14ac:dyDescent="0.3"/>
    <row r="767" customFormat="1" x14ac:dyDescent="0.3"/>
    <row r="768" customFormat="1" x14ac:dyDescent="0.3"/>
    <row r="769" customFormat="1" x14ac:dyDescent="0.3"/>
    <row r="770" customFormat="1" x14ac:dyDescent="0.3"/>
    <row r="771" customFormat="1" x14ac:dyDescent="0.3"/>
    <row r="772" customFormat="1" x14ac:dyDescent="0.3"/>
    <row r="773" customFormat="1" x14ac:dyDescent="0.3"/>
    <row r="774" customFormat="1" x14ac:dyDescent="0.3"/>
    <row r="775" customFormat="1" x14ac:dyDescent="0.3"/>
    <row r="776" customFormat="1" x14ac:dyDescent="0.3"/>
    <row r="777" customFormat="1" x14ac:dyDescent="0.3"/>
    <row r="778" customFormat="1" x14ac:dyDescent="0.3"/>
    <row r="779" customFormat="1" x14ac:dyDescent="0.3"/>
    <row r="780" customFormat="1" x14ac:dyDescent="0.3"/>
    <row r="781" customFormat="1" x14ac:dyDescent="0.3"/>
    <row r="782" customFormat="1" x14ac:dyDescent="0.3"/>
    <row r="783" customFormat="1" x14ac:dyDescent="0.3"/>
    <row r="784" customFormat="1" x14ac:dyDescent="0.3"/>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customFormat="1" x14ac:dyDescent="0.3"/>
    <row r="914" customFormat="1" x14ac:dyDescent="0.3"/>
    <row r="915" customFormat="1" x14ac:dyDescent="0.3"/>
    <row r="916" customFormat="1" x14ac:dyDescent="0.3"/>
    <row r="917" customFormat="1" x14ac:dyDescent="0.3"/>
    <row r="918" customFormat="1" x14ac:dyDescent="0.3"/>
    <row r="919" customFormat="1" x14ac:dyDescent="0.3"/>
    <row r="920" customFormat="1" x14ac:dyDescent="0.3"/>
    <row r="921" customFormat="1" x14ac:dyDescent="0.3"/>
    <row r="922" customFormat="1" x14ac:dyDescent="0.3"/>
    <row r="923" customFormat="1" x14ac:dyDescent="0.3"/>
    <row r="924" customFormat="1" x14ac:dyDescent="0.3"/>
    <row r="925" customFormat="1" x14ac:dyDescent="0.3"/>
    <row r="926" customFormat="1" x14ac:dyDescent="0.3"/>
    <row r="927" customFormat="1" x14ac:dyDescent="0.3"/>
    <row r="928" customFormat="1" x14ac:dyDescent="0.3"/>
    <row r="929" customFormat="1" x14ac:dyDescent="0.3"/>
    <row r="930" customFormat="1" x14ac:dyDescent="0.3"/>
    <row r="931" customFormat="1" x14ac:dyDescent="0.3"/>
    <row r="932" customFormat="1" x14ac:dyDescent="0.3"/>
    <row r="933" customFormat="1" x14ac:dyDescent="0.3"/>
    <row r="934" customFormat="1" x14ac:dyDescent="0.3"/>
    <row r="935" customFormat="1" x14ac:dyDescent="0.3"/>
    <row r="936" customFormat="1" x14ac:dyDescent="0.3"/>
    <row r="937" customFormat="1" x14ac:dyDescent="0.3"/>
    <row r="938" customFormat="1" x14ac:dyDescent="0.3"/>
    <row r="939" customFormat="1" x14ac:dyDescent="0.3"/>
    <row r="940" customFormat="1" x14ac:dyDescent="0.3"/>
    <row r="941" customFormat="1" x14ac:dyDescent="0.3"/>
    <row r="942" customFormat="1" x14ac:dyDescent="0.3"/>
    <row r="943" customFormat="1" x14ac:dyDescent="0.3"/>
    <row r="944" customFormat="1" x14ac:dyDescent="0.3"/>
    <row r="945" customFormat="1" x14ac:dyDescent="0.3"/>
    <row r="946" customFormat="1" x14ac:dyDescent="0.3"/>
    <row r="947" customFormat="1" x14ac:dyDescent="0.3"/>
    <row r="948" customFormat="1" x14ac:dyDescent="0.3"/>
    <row r="949" customFormat="1" x14ac:dyDescent="0.3"/>
    <row r="950" customFormat="1" x14ac:dyDescent="0.3"/>
    <row r="951" customFormat="1" x14ac:dyDescent="0.3"/>
    <row r="952" customFormat="1" x14ac:dyDescent="0.3"/>
    <row r="953" customFormat="1" x14ac:dyDescent="0.3"/>
    <row r="954" customFormat="1" x14ac:dyDescent="0.3"/>
    <row r="955" customFormat="1" x14ac:dyDescent="0.3"/>
    <row r="956" customFormat="1" x14ac:dyDescent="0.3"/>
    <row r="957" customFormat="1" x14ac:dyDescent="0.3"/>
    <row r="958" customFormat="1" x14ac:dyDescent="0.3"/>
    <row r="959" customFormat="1" x14ac:dyDescent="0.3"/>
    <row r="960" customFormat="1" x14ac:dyDescent="0.3"/>
    <row r="961" customFormat="1" x14ac:dyDescent="0.3"/>
    <row r="962" customFormat="1" x14ac:dyDescent="0.3"/>
    <row r="963" customFormat="1" x14ac:dyDescent="0.3"/>
    <row r="964" customFormat="1" x14ac:dyDescent="0.3"/>
    <row r="965" customFormat="1" x14ac:dyDescent="0.3"/>
    <row r="966" customFormat="1" x14ac:dyDescent="0.3"/>
    <row r="967" customFormat="1" x14ac:dyDescent="0.3"/>
    <row r="968" customFormat="1" x14ac:dyDescent="0.3"/>
    <row r="969" customFormat="1" x14ac:dyDescent="0.3"/>
    <row r="970" customFormat="1" x14ac:dyDescent="0.3"/>
    <row r="971" customFormat="1" x14ac:dyDescent="0.3"/>
    <row r="972" customFormat="1" x14ac:dyDescent="0.3"/>
    <row r="973" customFormat="1" x14ac:dyDescent="0.3"/>
    <row r="974" customFormat="1" x14ac:dyDescent="0.3"/>
    <row r="975" customFormat="1" x14ac:dyDescent="0.3"/>
    <row r="976" customFormat="1" x14ac:dyDescent="0.3"/>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customFormat="1" x14ac:dyDescent="0.3"/>
    <row r="994" customFormat="1" x14ac:dyDescent="0.3"/>
    <row r="995" customFormat="1" x14ac:dyDescent="0.3"/>
    <row r="996" customFormat="1" x14ac:dyDescent="0.3"/>
    <row r="997" customFormat="1" x14ac:dyDescent="0.3"/>
    <row r="998" customFormat="1" x14ac:dyDescent="0.3"/>
    <row r="999" customFormat="1" x14ac:dyDescent="0.3"/>
    <row r="1000" customFormat="1" x14ac:dyDescent="0.3"/>
  </sheetData>
  <mergeCells count="6">
    <mergeCell ref="G3:K3"/>
    <mergeCell ref="H6:I6"/>
    <mergeCell ref="K6:L6"/>
    <mergeCell ref="A7:D7"/>
    <mergeCell ref="E7:H7"/>
    <mergeCell ref="I7:L7"/>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88410-A69D-4EED-98C4-8E55266435E2}">
  <dimension ref="A1:S15"/>
  <sheetViews>
    <sheetView tabSelected="1" workbookViewId="0">
      <selection activeCell="D37" sqref="D37"/>
    </sheetView>
  </sheetViews>
  <sheetFormatPr baseColWidth="10" defaultRowHeight="14.4" x14ac:dyDescent="0.3"/>
  <cols>
    <col min="1" max="1" width="19.5546875" bestFit="1" customWidth="1"/>
    <col min="2" max="2" width="9.109375" bestFit="1" customWidth="1"/>
    <col min="3" max="3" width="6.44140625" bestFit="1" customWidth="1"/>
    <col min="4" max="4" width="9.5546875" bestFit="1" customWidth="1"/>
    <col min="5" max="6" width="3.44140625" bestFit="1" customWidth="1"/>
    <col min="7" max="8" width="13" bestFit="1" customWidth="1"/>
    <col min="9" max="9" width="12" bestFit="1" customWidth="1"/>
    <col min="10" max="11" width="13.5546875" bestFit="1" customWidth="1"/>
    <col min="12" max="12" width="12" bestFit="1" customWidth="1"/>
    <col min="13" max="13" width="13.5546875" bestFit="1" customWidth="1"/>
    <col min="14" max="14" width="14.33203125" bestFit="1" customWidth="1"/>
    <col min="15" max="15" width="12" bestFit="1" customWidth="1"/>
    <col min="16" max="16" width="13" bestFit="1" customWidth="1"/>
    <col min="17" max="17" width="13.5546875" bestFit="1" customWidth="1"/>
    <col min="18" max="19" width="13" bestFit="1" customWidth="1"/>
  </cols>
  <sheetData>
    <row r="1" spans="1:19" x14ac:dyDescent="0.3">
      <c r="A1" t="s">
        <v>217</v>
      </c>
    </row>
    <row r="3" spans="1:19" x14ac:dyDescent="0.3">
      <c r="A3" s="5"/>
      <c r="B3" s="5"/>
      <c r="C3" s="5"/>
      <c r="D3" s="5"/>
      <c r="E3" s="131" t="s">
        <v>7</v>
      </c>
      <c r="F3" s="131"/>
      <c r="G3" s="99" t="s">
        <v>8</v>
      </c>
      <c r="H3" s="131" t="s">
        <v>9</v>
      </c>
      <c r="I3" s="131"/>
      <c r="J3" s="99" t="s">
        <v>8</v>
      </c>
      <c r="K3" s="131" t="s">
        <v>12</v>
      </c>
      <c r="L3" s="131"/>
      <c r="M3" s="99" t="s">
        <v>8</v>
      </c>
      <c r="N3" s="99" t="s">
        <v>14</v>
      </c>
      <c r="O3" s="99" t="s">
        <v>15</v>
      </c>
      <c r="P3" s="100" t="s">
        <v>16</v>
      </c>
    </row>
    <row r="4" spans="1:19" ht="15" thickBot="1" x14ac:dyDescent="0.35">
      <c r="A4" s="20" t="s">
        <v>18</v>
      </c>
      <c r="B4" s="20" t="s">
        <v>2</v>
      </c>
      <c r="C4" s="20" t="s">
        <v>3</v>
      </c>
      <c r="D4" s="96" t="s">
        <v>4</v>
      </c>
      <c r="E4" s="97" t="s">
        <v>5</v>
      </c>
      <c r="F4" s="97" t="s">
        <v>6</v>
      </c>
      <c r="G4" s="97" t="s">
        <v>204</v>
      </c>
      <c r="H4" s="97" t="s">
        <v>10</v>
      </c>
      <c r="I4" s="97" t="s">
        <v>11</v>
      </c>
      <c r="J4" s="97" t="s">
        <v>205</v>
      </c>
      <c r="K4" s="97" t="s">
        <v>10</v>
      </c>
      <c r="L4" s="97" t="s">
        <v>11</v>
      </c>
      <c r="M4" s="97" t="s">
        <v>206</v>
      </c>
      <c r="N4" s="97" t="s">
        <v>211</v>
      </c>
      <c r="O4" s="97" t="s">
        <v>212</v>
      </c>
      <c r="P4" s="98" t="s">
        <v>210</v>
      </c>
    </row>
    <row r="5" spans="1:19" x14ac:dyDescent="0.3">
      <c r="A5" t="s">
        <v>33</v>
      </c>
      <c r="B5" t="s">
        <v>43</v>
      </c>
      <c r="C5">
        <v>2009</v>
      </c>
      <c r="D5" t="s">
        <v>38</v>
      </c>
      <c r="E5">
        <v>45</v>
      </c>
      <c r="F5">
        <v>15</v>
      </c>
      <c r="G5">
        <v>30</v>
      </c>
      <c r="H5">
        <v>1.769761431101821</v>
      </c>
      <c r="I5">
        <v>1.9590986960716179</v>
      </c>
      <c r="J5">
        <v>10</v>
      </c>
      <c r="K5">
        <v>6.0644676110487863</v>
      </c>
      <c r="L5">
        <v>6.6425240890573178</v>
      </c>
      <c r="M5">
        <v>6</v>
      </c>
      <c r="N5">
        <v>91</v>
      </c>
      <c r="O5">
        <v>22</v>
      </c>
      <c r="P5">
        <v>159</v>
      </c>
    </row>
    <row r="6" spans="1:19" x14ac:dyDescent="0.3">
      <c r="A6" t="s">
        <v>34</v>
      </c>
      <c r="B6" t="s">
        <v>43</v>
      </c>
      <c r="C6">
        <v>2009</v>
      </c>
      <c r="D6" t="s">
        <v>38</v>
      </c>
      <c r="E6">
        <v>44</v>
      </c>
      <c r="F6">
        <v>9</v>
      </c>
      <c r="G6">
        <v>27</v>
      </c>
      <c r="H6">
        <v>1.8341613380135</v>
      </c>
      <c r="I6">
        <v>2.1750380338624145</v>
      </c>
      <c r="J6">
        <v>0</v>
      </c>
      <c r="K6">
        <v>6.6031374742078812</v>
      </c>
      <c r="L6">
        <v>6.5387884577256079</v>
      </c>
      <c r="M6">
        <v>0</v>
      </c>
      <c r="N6">
        <v>83</v>
      </c>
      <c r="O6">
        <v>39</v>
      </c>
      <c r="P6">
        <v>149</v>
      </c>
    </row>
    <row r="9" spans="1:19" x14ac:dyDescent="0.3">
      <c r="A9" s="5"/>
      <c r="B9" s="5"/>
      <c r="C9" s="5"/>
      <c r="D9" s="15"/>
      <c r="E9" s="131" t="s">
        <v>7</v>
      </c>
      <c r="F9" s="131"/>
      <c r="G9" s="131"/>
      <c r="H9" s="99" t="s">
        <v>8</v>
      </c>
      <c r="I9" s="131" t="s">
        <v>9</v>
      </c>
      <c r="J9" s="131"/>
      <c r="K9" s="99" t="s">
        <v>8</v>
      </c>
      <c r="L9" s="131" t="s">
        <v>12</v>
      </c>
      <c r="M9" s="131"/>
      <c r="N9" s="99" t="s">
        <v>8</v>
      </c>
      <c r="O9" s="101" t="s">
        <v>19</v>
      </c>
      <c r="P9" s="102" t="s">
        <v>8</v>
      </c>
      <c r="Q9" s="99" t="s">
        <v>152</v>
      </c>
      <c r="R9" s="99" t="s">
        <v>15</v>
      </c>
      <c r="S9" s="100" t="s">
        <v>16</v>
      </c>
    </row>
    <row r="10" spans="1:19" ht="15" thickBot="1" x14ac:dyDescent="0.35">
      <c r="A10" s="20" t="s">
        <v>18</v>
      </c>
      <c r="B10" s="20" t="s">
        <v>2</v>
      </c>
      <c r="C10" s="20" t="s">
        <v>3</v>
      </c>
      <c r="D10" s="103" t="s">
        <v>4</v>
      </c>
      <c r="E10" s="97" t="s">
        <v>5</v>
      </c>
      <c r="F10" s="97" t="s">
        <v>6</v>
      </c>
      <c r="G10" s="97" t="s">
        <v>17</v>
      </c>
      <c r="H10" s="97" t="s">
        <v>204</v>
      </c>
      <c r="I10" s="97" t="s">
        <v>10</v>
      </c>
      <c r="J10" s="97" t="s">
        <v>11</v>
      </c>
      <c r="K10" s="97" t="s">
        <v>205</v>
      </c>
      <c r="L10" s="97" t="s">
        <v>10</v>
      </c>
      <c r="M10" s="97" t="s">
        <v>11</v>
      </c>
      <c r="N10" s="97" t="s">
        <v>206</v>
      </c>
      <c r="O10" s="97" t="s">
        <v>20</v>
      </c>
      <c r="P10" s="97" t="s">
        <v>207</v>
      </c>
      <c r="Q10" s="97" t="s">
        <v>208</v>
      </c>
      <c r="R10" s="97" t="s">
        <v>209</v>
      </c>
      <c r="S10" s="98" t="s">
        <v>210</v>
      </c>
    </row>
    <row r="11" spans="1:19" x14ac:dyDescent="0.3">
      <c r="A11" t="s">
        <v>48</v>
      </c>
      <c r="B11" t="s">
        <v>43</v>
      </c>
      <c r="C11">
        <v>2009</v>
      </c>
      <c r="D11" t="s">
        <v>49</v>
      </c>
      <c r="E11">
        <v>91</v>
      </c>
      <c r="F11">
        <v>43</v>
      </c>
      <c r="G11">
        <v>31</v>
      </c>
      <c r="H11">
        <v>50</v>
      </c>
      <c r="I11">
        <v>1.7597879558866145</v>
      </c>
      <c r="J11">
        <v>2.1605646882864127</v>
      </c>
      <c r="K11">
        <v>10</v>
      </c>
      <c r="L11">
        <v>6.6388108481045114</v>
      </c>
      <c r="M11">
        <v>5.5397056349549016</v>
      </c>
      <c r="N11">
        <v>18</v>
      </c>
      <c r="O11">
        <v>730</v>
      </c>
      <c r="P11">
        <v>9.25</v>
      </c>
      <c r="Q11">
        <v>49</v>
      </c>
      <c r="R11">
        <v>83</v>
      </c>
      <c r="S11">
        <v>219.25</v>
      </c>
    </row>
    <row r="12" spans="1:19" x14ac:dyDescent="0.3">
      <c r="A12" t="s">
        <v>157</v>
      </c>
      <c r="B12" t="s">
        <v>43</v>
      </c>
      <c r="C12">
        <v>2009</v>
      </c>
      <c r="D12" t="s">
        <v>71</v>
      </c>
      <c r="E12">
        <v>60</v>
      </c>
      <c r="F12">
        <v>91</v>
      </c>
      <c r="G12">
        <v>27</v>
      </c>
      <c r="H12">
        <v>50</v>
      </c>
      <c r="I12">
        <v>2.1569312543737169</v>
      </c>
      <c r="J12">
        <v>1.823281822768053</v>
      </c>
      <c r="K12">
        <v>8</v>
      </c>
      <c r="L12">
        <v>5.6122850558486803</v>
      </c>
      <c r="M12">
        <v>6.3659148099836447</v>
      </c>
      <c r="N12">
        <v>16</v>
      </c>
      <c r="O12">
        <v>550</v>
      </c>
      <c r="P12">
        <v>4.75</v>
      </c>
      <c r="Q12">
        <v>33</v>
      </c>
      <c r="R12">
        <v>78</v>
      </c>
      <c r="S12">
        <v>189.75</v>
      </c>
    </row>
    <row r="13" spans="1:19" x14ac:dyDescent="0.3">
      <c r="A13" t="s">
        <v>137</v>
      </c>
      <c r="B13" t="s">
        <v>43</v>
      </c>
      <c r="C13">
        <v>2009</v>
      </c>
      <c r="D13" t="s">
        <v>55</v>
      </c>
      <c r="E13">
        <v>49</v>
      </c>
      <c r="F13">
        <v>78</v>
      </c>
      <c r="G13">
        <v>44</v>
      </c>
      <c r="H13">
        <v>50</v>
      </c>
      <c r="I13">
        <v>1.6664390938219953</v>
      </c>
      <c r="J13">
        <v>1.9432353573823038</v>
      </c>
      <c r="K13">
        <v>10</v>
      </c>
      <c r="L13">
        <v>5.9790023630448275</v>
      </c>
      <c r="M13">
        <v>6.48361671701839</v>
      </c>
      <c r="N13">
        <v>8</v>
      </c>
      <c r="O13">
        <v>910</v>
      </c>
      <c r="P13">
        <v>13.75</v>
      </c>
      <c r="Q13">
        <v>23</v>
      </c>
      <c r="R13">
        <v>29</v>
      </c>
      <c r="S13">
        <v>133.75</v>
      </c>
    </row>
    <row r="14" spans="1:19" x14ac:dyDescent="0.3">
      <c r="A14" t="s">
        <v>138</v>
      </c>
      <c r="B14" t="s">
        <v>43</v>
      </c>
      <c r="C14">
        <v>2009</v>
      </c>
      <c r="D14" t="s">
        <v>139</v>
      </c>
      <c r="E14">
        <v>43</v>
      </c>
      <c r="F14">
        <v>67</v>
      </c>
      <c r="G14">
        <v>66</v>
      </c>
      <c r="H14">
        <v>50</v>
      </c>
      <c r="I14">
        <v>2.1728964221342113</v>
      </c>
      <c r="J14">
        <v>1.9603448253398696</v>
      </c>
      <c r="K14">
        <v>2</v>
      </c>
      <c r="L14">
        <v>6.3449225853681446</v>
      </c>
      <c r="M14">
        <v>6.1573086156616359</v>
      </c>
      <c r="N14">
        <v>0</v>
      </c>
      <c r="O14">
        <v>640</v>
      </c>
      <c r="P14">
        <v>7</v>
      </c>
      <c r="Q14">
        <v>40</v>
      </c>
      <c r="R14">
        <v>24</v>
      </c>
      <c r="S14">
        <v>123</v>
      </c>
    </row>
    <row r="15" spans="1:19" x14ac:dyDescent="0.3">
      <c r="A15" t="s">
        <v>150</v>
      </c>
      <c r="B15" t="s">
        <v>43</v>
      </c>
      <c r="C15">
        <v>2009</v>
      </c>
      <c r="D15" t="s">
        <v>55</v>
      </c>
      <c r="E15">
        <v>34</v>
      </c>
      <c r="F15">
        <v>45</v>
      </c>
      <c r="G15">
        <v>16</v>
      </c>
      <c r="H15">
        <v>32</v>
      </c>
      <c r="I15">
        <v>1.7309967148982532</v>
      </c>
      <c r="J15">
        <v>2.1179041426263003</v>
      </c>
      <c r="K15">
        <v>10</v>
      </c>
      <c r="L15">
        <v>5.392689680324354</v>
      </c>
      <c r="M15">
        <v>5.5316640957719638</v>
      </c>
      <c r="N15">
        <v>20</v>
      </c>
      <c r="O15">
        <v>540</v>
      </c>
      <c r="P15">
        <v>4.5</v>
      </c>
      <c r="Q15">
        <v>10</v>
      </c>
      <c r="R15">
        <v>24</v>
      </c>
      <c r="S15">
        <v>100.5</v>
      </c>
    </row>
  </sheetData>
  <mergeCells count="6">
    <mergeCell ref="E3:F3"/>
    <mergeCell ref="H3:I3"/>
    <mergeCell ref="K3:L3"/>
    <mergeCell ref="E9:G9"/>
    <mergeCell ref="I9:J9"/>
    <mergeCell ref="L9:M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TableauBord</vt:lpstr>
      <vt:lpstr>Cartographie</vt:lpstr>
      <vt:lpstr>RésultatsGardiens</vt:lpstr>
      <vt:lpstr>RésultatsJoueurs07-08</vt:lpstr>
      <vt:lpstr>RésultatsJoueurs09-10</vt:lpstr>
      <vt:lpstr>ClassementFinal</vt:lpstr>
      <vt:lpstr>CHAMOIS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Valentin Dujour</dc:creator>
  <cp:lastModifiedBy>Chloé Decoust</cp:lastModifiedBy>
  <dcterms:created xsi:type="dcterms:W3CDTF">2024-10-14T13:15:22Z</dcterms:created>
  <dcterms:modified xsi:type="dcterms:W3CDTF">2025-04-24T15:34:00Z</dcterms:modified>
</cp:coreProperties>
</file>